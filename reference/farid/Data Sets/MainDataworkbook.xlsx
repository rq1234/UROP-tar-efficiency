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0005" windowHeight="9945"/>
  </bookViews>
  <sheets>
    <sheet name="UKDS.Stat export" sheetId="1" r:id="rId1"/>
    <sheet name="S&amp;P500" sheetId="3" r:id="rId2"/>
  </sheets>
  <calcPr calcId="145621"/>
</workbook>
</file>

<file path=xl/calcChain.xml><?xml version="1.0" encoding="utf-8"?>
<calcChain xmlns="http://schemas.openxmlformats.org/spreadsheetml/2006/main">
  <c r="Q78" i="1" l="1"/>
  <c r="Q77" i="1"/>
  <c r="Q76" i="1"/>
  <c r="Q75" i="1"/>
  <c r="Q449" i="1"/>
  <c r="Q448" i="1"/>
  <c r="Q447" i="1"/>
  <c r="Q446" i="1"/>
  <c r="Q445" i="1"/>
  <c r="Q444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3" i="1"/>
  <c r="A1" i="1"/>
</calcChain>
</file>

<file path=xl/sharedStrings.xml><?xml version="1.0" encoding="utf-8"?>
<sst xmlns="http://schemas.openxmlformats.org/spreadsheetml/2006/main" count="476" uniqueCount="473">
  <si>
    <t>ALUMINUM  (Units: US Dollars per Metric Ton)  15676DRZZF---</t>
  </si>
  <si>
    <t>COPPER  (Units: US Dollars per Metric Ton)  11276C-ZZF---</t>
  </si>
  <si>
    <t>LEAD  (Units: US Dollars per Metric Ton)  11276V-ZZF---</t>
  </si>
  <si>
    <t>NICKEL  (Units: US Dollars per Metric Ton)  15676PTZZF---</t>
  </si>
  <si>
    <t>PETROLEUM:UK BRENT  (Units: US Dollars per Barrel)  11276AAZZF---</t>
  </si>
  <si>
    <t>PETROLEUM:WEST TEXAS INTERMEDIATE  (Units: US Dollars per Barrel)  11176AAZZFM17</t>
  </si>
  <si>
    <t>TIN  (Units: US Dollars per Metric Ton)  11276Q-ZZF---</t>
  </si>
  <si>
    <t>ZINC  (Units: US Dollars per Metric Ton)  11276T-ZZF---</t>
  </si>
  <si>
    <t>Time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</si>
  <si>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</si>
  <si>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</si>
  <si>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</si>
  <si>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</si>
  <si>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</si>
  <si>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</si>
  <si>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</si>
  <si>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</si>
  <si>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</si>
  <si>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</si>
  <si>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</si>
  <si>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</si>
  <si>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</si>
  <si>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</si>
  <si>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</si>
  <si>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</si>
  <si>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</si>
  <si>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</si>
  <si>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</si>
  <si>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</si>
  <si>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</si>
  <si>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</si>
  <si>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</si>
  <si>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</si>
  <si>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</si>
  <si>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</si>
  <si>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</si>
  <si>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</si>
  <si>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</si>
  <si>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</si>
  <si>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</si>
  <si>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</si>
  <si>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</si>
  <si>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</si>
  <si>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</si>
  <si>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</si>
  <si>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</si>
  <si>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</si>
  <si>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</si>
  <si>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</si>
  <si>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</si>
  <si>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</si>
  <si>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</si>
  <si>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</si>
  <si>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</si>
  <si>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</si>
  <si>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</si>
  <si>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</si>
  <si>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</si>
  <si>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</si>
  <si>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</si>
  <si>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</si>
  <si>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</si>
  <si>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</si>
  <si>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</si>
  <si>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</si>
  <si>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</si>
  <si>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</si>
  <si>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</si>
  <si>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</si>
  <si>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</si>
  <si>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</si>
  <si>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</si>
  <si>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</si>
  <si>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</si>
  <si>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</si>
  <si>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</si>
  <si>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</si>
  <si>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</si>
  <si>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</si>
  <si>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</si>
  <si>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</si>
  <si>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</si>
  <si>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</si>
  <si>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</si>
  <si>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</si>
  <si>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</si>
  <si>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</si>
  <si>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</si>
  <si>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</si>
  <si>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</si>
  <si>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</si>
  <si>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</si>
  <si>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</si>
  <si>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</si>
  <si>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</si>
  <si>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</si>
  <si>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</si>
  <si>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</si>
  <si>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</si>
  <si>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</si>
  <si>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</si>
  <si>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</si>
  <si>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</si>
  <si>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</si>
  <si>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</si>
  <si>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</si>
  <si>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</si>
  <si>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</si>
  <si>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</si>
  <si>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</si>
  <si>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</si>
  <si>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</si>
  <si>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</si>
  <si>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</si>
  <si>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</si>
  <si>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</si>
  <si>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</si>
  <si>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</si>
  <si>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</si>
  <si>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</si>
  <si>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</si>
  <si>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</si>
  <si>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</si>
  <si>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</si>
  <si>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</si>
  <si>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</si>
  <si>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</si>
  <si>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</si>
  <si>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</si>
  <si>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</si>
  <si>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</si>
  <si>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</si>
  <si>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</si>
  <si>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</si>
  <si>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</si>
  <si>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</si>
  <si>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</si>
  <si>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</si>
  <si>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</si>
  <si>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</si>
  <si>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</si>
  <si>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</si>
  <si>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</si>
  <si>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</si>
  <si>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</si>
  <si>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</si>
  <si>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</si>
  <si>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</si>
  <si>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</si>
  <si>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</si>
  <si>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</si>
  <si>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</si>
  <si>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</si>
  <si>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</si>
  <si>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</si>
  <si>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</si>
  <si>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</si>
  <si>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</si>
  <si>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</si>
  <si>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</si>
  <si>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</si>
  <si>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</si>
  <si>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</si>
  <si>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</si>
  <si>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</si>
  <si>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</si>
  <si>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</si>
  <si>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</si>
  <si>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</si>
  <si>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</si>
  <si>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</si>
  <si>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</si>
  <si>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</si>
  <si>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</si>
  <si>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</si>
  <si>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</si>
  <si>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</si>
  <si>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</si>
  <si>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</si>
  <si>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</si>
  <si>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</si>
  <si>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</si>
  <si>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</si>
  <si>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</si>
  <si>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</si>
  <si>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</si>
  <si>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</si>
  <si>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</si>
  <si>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</si>
  <si>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</si>
  <si>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</si>
  <si>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</si>
  <si>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</si>
  <si>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</si>
  <si>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</si>
  <si>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</si>
  <si>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</si>
  <si>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</si>
  <si>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</si>
  <si>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</si>
  <si>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</si>
  <si>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</si>
  <si>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</si>
  <si>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</si>
  <si>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</si>
  <si>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</si>
  <si>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</si>
  <si>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</si>
  <si>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</si>
  <si>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</si>
  <si>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</si>
  <si>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</si>
  <si>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</si>
  <si>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</si>
  <si>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</si>
  <si>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</si>
  <si>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</si>
  <si>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</si>
  <si>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</si>
  <si>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</si>
  <si>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</si>
  <si>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</si>
  <si>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</si>
  <si>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</si>
  <si>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</si>
  <si>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</si>
  <si>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</si>
  <si>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</si>
  <si>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</si>
  <si>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</si>
  <si>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</si>
  <si>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</si>
  <si>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</si>
  <si>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</si>
  <si>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</si>
  <si>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</si>
  <si>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</si>
  <si>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</si>
  <si>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</si>
  <si>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</si>
  <si>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</si>
  <si>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</si>
  <si>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</si>
  <si>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</si>
  <si>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</si>
  <si>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</si>
  <si>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</si>
  <si>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</si>
  <si>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</si>
  <si>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</si>
  <si>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</si>
  <si>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</si>
  <si>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</si>
  <si>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</si>
  <si>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</si>
  <si>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</si>
  <si>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</si>
  <si>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</si>
  <si>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</si>
  <si>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</si>
  <si>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</si>
  <si>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</si>
  <si>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</si>
  <si>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</si>
  <si>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</si>
  <si>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</si>
  <si>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</si>
  <si>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</si>
  <si>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</si>
  <si>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</si>
  <si>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</si>
  <si>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</si>
  <si>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</si>
  <si>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</si>
  <si>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</si>
  <si>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</si>
  <si>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</si>
  <si>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</si>
  <si>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</si>
  <si>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</si>
  <si>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</si>
  <si>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</si>
  <si>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</si>
  <si>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</si>
  <si>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</si>
  <si>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</si>
  <si>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</si>
  <si>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</si>
  <si>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</si>
  <si>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</si>
  <si>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</si>
  <si>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</si>
  <si>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</si>
  <si>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</si>
  <si>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</si>
  <si>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</si>
  <si>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</si>
  <si>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</si>
  <si>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</si>
  <si>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</si>
  <si>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</si>
  <si>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</si>
  <si>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</si>
  <si>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</si>
  <si>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</si>
  <si>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</si>
  <si>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</si>
  <si>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</si>
  <si>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</si>
  <si>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</si>
  <si>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</si>
  <si>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</si>
  <si>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</si>
  <si>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</si>
  <si>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</si>
  <si>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</si>
  <si>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</si>
  <si>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</si>
  <si>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</si>
  <si>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</si>
  <si>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</si>
  <si>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</si>
  <si>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</si>
  <si>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</si>
  <si>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</si>
  <si>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</si>
  <si>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</si>
  <si>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</si>
  <si>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</si>
  <si>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</si>
  <si>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</si>
  <si>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</si>
  <si>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</si>
  <si>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</si>
  <si>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</si>
  <si>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</si>
  <si>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</si>
  <si>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</si>
  <si>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</si>
  <si>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</si>
  <si>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</si>
  <si>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</si>
  <si>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</si>
  <si>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</si>
  <si>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</si>
  <si>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</si>
  <si>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</si>
  <si>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</si>
  <si>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</si>
  <si>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</si>
  <si>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</si>
  <si>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</si>
  <si>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</si>
  <si>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</si>
  <si>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</si>
  <si>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</si>
  <si>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</si>
  <si>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</si>
  <si>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</si>
  <si>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</si>
  <si>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</si>
  <si>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</si>
  <si>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</si>
  <si>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</si>
  <si>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</si>
  <si>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</si>
  <si>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</si>
  <si>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</si>
  <si>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</si>
  <si>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</si>
  <si>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</si>
  <si>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</si>
  <si>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</si>
  <si>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</si>
  <si>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</si>
  <si>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</si>
  <si>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</si>
  <si>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</si>
  <si>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</si>
  <si>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</si>
  <si>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</si>
  <si>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</si>
  <si>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</si>
  <si>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</si>
  <si>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</si>
  <si>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</si>
  <si>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</si>
  <si>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</si>
  <si>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</si>
  <si>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</si>
  <si>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</si>
  <si>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</si>
  <si>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</si>
  <si>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</si>
  <si>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</si>
  <si>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</si>
  <si>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</si>
  <si>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</si>
  <si>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</si>
  <si>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</si>
  <si>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</si>
  <si>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</si>
  <si>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</si>
  <si>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</si>
  <si>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</si>
  <si>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</si>
  <si>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</si>
  <si>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</si>
  <si>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</si>
  <si>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</si>
  <si>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</si>
  <si>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</si>
  <si>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</si>
  <si>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</si>
  <si>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</si>
  <si>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</si>
  <si>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</si>
  <si>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</si>
  <si>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</si>
  <si>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</si>
  <si>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</si>
  <si>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</si>
  <si>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</si>
  <si>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</si>
  <si>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</si>
  <si>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</si>
  <si>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</si>
  <si>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</si>
  <si>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</si>
  <si>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</si>
  <si>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</si>
  <si>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</si>
  <si>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</si>
  <si>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</si>
  <si>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</si>
  <si>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</si>
  <si>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</si>
  <si>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</si>
  <si>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</si>
  <si>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</si>
  <si>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</si>
  <si>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</si>
  <si>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</si>
  <si>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</si>
  <si>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</si>
  <si>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</si>
  <si>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</si>
  <si>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</si>
  <si>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</si>
  <si>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</si>
  <si>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</si>
  <si>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</si>
  <si>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</si>
  <si>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</si>
  <si>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</si>
  <si>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</si>
  <si>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</si>
  <si>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</si>
  <si>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</si>
  <si>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Michigan Consumer Sentiment Index</t>
  </si>
  <si>
    <t>Adj Close</t>
  </si>
  <si>
    <t>Date</t>
  </si>
  <si>
    <t>S&amp;P500 Index</t>
  </si>
  <si>
    <t>MSI %</t>
  </si>
  <si>
    <t>S&amp;P Returns</t>
  </si>
  <si>
    <t>Baker &amp; Wurgler Sentiment data</t>
  </si>
  <si>
    <t>Max</t>
  </si>
  <si>
    <t>min</t>
  </si>
  <si>
    <t>Average</t>
  </si>
  <si>
    <t>Mean</t>
  </si>
  <si>
    <t>CI-</t>
  </si>
  <si>
    <t>CI+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</si>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</sst>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%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sz val="10"/>
      <name val="MS Sans Serif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3" fillId="0" borderId="0"/>
    <xf numFmtId="0" fontId="1" fillId="0" borderId="0"/>
  </cellStyleXfs>
  <cellXfs count="15">
    <xf numFmtId="0" fontId="0" fillId="0" borderId="0" xfId="0"/>
    <xf numFmtId="0" fontId="22" fillId="0" borderId="10" xfId="0" applyFont="1" applyBorder="1"/>
    <xf numFmtId="0" fontId="20" fillId="33" borderId="10" xfId="0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vertical="top" wrapText="1"/>
    </xf>
    <xf numFmtId="0" fontId="22" fillId="0" borderId="10" xfId="0" applyNumberFormat="1" applyFont="1" applyBorder="1" applyAlignment="1">
      <alignment horizontal="right"/>
    </xf>
    <xf numFmtId="0" fontId="22" fillId="35" borderId="10" xfId="0" applyNumberFormat="1" applyFont="1" applyFill="1" applyBorder="1" applyAlignment="1">
      <alignment horizontal="right"/>
    </xf>
    <xf numFmtId="0" fontId="21" fillId="33" borderId="11" xfId="0" applyFont="1" applyFill="1" applyBorder="1" applyAlignment="1">
      <alignment vertical="center" wrapText="1"/>
    </xf>
    <xf numFmtId="0" fontId="1" fillId="0" borderId="0" xfId="44"/>
    <xf numFmtId="14" fontId="1" fillId="0" borderId="0" xfId="44" applyNumberFormat="1"/>
    <xf numFmtId="10" fontId="20" fillId="33" borderId="10" xfId="1" applyNumberFormat="1" applyFont="1" applyFill="1" applyBorder="1" applyAlignment="1">
      <alignment horizontal="center" vertical="top" wrapText="1"/>
    </xf>
    <xf numFmtId="10" fontId="22" fillId="0" borderId="10" xfId="1" applyNumberFormat="1" applyFont="1" applyBorder="1" applyAlignment="1">
      <alignment horizontal="right"/>
    </xf>
    <xf numFmtId="2" fontId="24" fillId="0" borderId="0" xfId="0" applyNumberFormat="1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24" fillId="0" borderId="0" xfId="0" applyFont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43"/>
    <cellStyle name="Normal 3" xfId="44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2"/>
  <sheetViews>
    <sheetView showGridLines="0" tabSelected="1" topLeftCell="A2" workbookViewId="0">
      <pane ySplit="1" topLeftCell="A51" activePane="bottomLeft" state="frozen"/>
      <selection activeCell="A2" sqref="A2"/>
      <selection pane="bottomLeft" activeCell="Q79" sqref="Q79"/>
    </sheetView>
  </sheetViews>
  <sheetFormatPr defaultRowHeight="12.75" x14ac:dyDescent="0.2"/>
  <cols>
    <col min="1" max="1" width="27.42578125" customWidth="1"/>
  </cols>
  <sheetData>
    <row r="1" spans="1:14" hidden="1" x14ac:dyDescent="0.2">
      <c r="A1" s="1" t="e">
        <f ca="1">DotStatQuery(#REF!)</f>
        <v>#NAME?</v>
      </c>
    </row>
    <row r="2" spans="1:14" ht="126" x14ac:dyDescent="0.2">
      <c r="A2" s="6" t="s">
        <v>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459</v>
      </c>
      <c r="K2" s="9" t="s">
        <v>463</v>
      </c>
      <c r="L2" s="2" t="s">
        <v>462</v>
      </c>
      <c r="M2" s="9" t="s">
        <v>464</v>
      </c>
      <c r="N2" s="9" t="s">
        <v>465</v>
      </c>
    </row>
    <row r="3" spans="1:14" x14ac:dyDescent="0.2">
      <c r="A3" s="3" t="s">
        <v>9</v>
      </c>
      <c r="B3" s="4">
        <v>1316.2</v>
      </c>
      <c r="C3" s="4">
        <v>1261.26</v>
      </c>
      <c r="D3" s="4">
        <v>661.39</v>
      </c>
      <c r="E3" s="4">
        <v>4585.6099999999997</v>
      </c>
      <c r="F3" s="4">
        <v>14.05</v>
      </c>
      <c r="G3" s="4">
        <v>14.85</v>
      </c>
      <c r="H3" s="4">
        <v>12121</v>
      </c>
      <c r="I3" s="4">
        <v>518.09</v>
      </c>
      <c r="J3" s="4">
        <v>83.7</v>
      </c>
      <c r="K3" s="10">
        <f xml:space="preserve"> (J4-J3)/J3</f>
        <v>7.1684587813619386E-3</v>
      </c>
      <c r="L3" s="4">
        <v>89.25</v>
      </c>
      <c r="M3" s="10">
        <f xml:space="preserve"> (L4-L3)/L3</f>
        <v>-2.4761893557422927E-2</v>
      </c>
      <c r="N3" s="11">
        <v>-1.4775659999999999</v>
      </c>
    </row>
    <row r="4" spans="1:14" x14ac:dyDescent="0.2">
      <c r="A4" s="3" t="s">
        <v>10</v>
      </c>
      <c r="B4" s="5">
        <v>1320.6</v>
      </c>
      <c r="C4" s="5">
        <v>1219.1500000000001</v>
      </c>
      <c r="D4" s="5">
        <v>582.02</v>
      </c>
      <c r="E4" s="5">
        <v>4585.6099999999997</v>
      </c>
      <c r="F4" s="5">
        <v>14</v>
      </c>
      <c r="G4" s="5">
        <v>14.85</v>
      </c>
      <c r="H4" s="5">
        <v>12149.7</v>
      </c>
      <c r="I4" s="5">
        <v>476.2</v>
      </c>
      <c r="J4" s="5">
        <v>84.3</v>
      </c>
      <c r="K4" s="10">
        <f t="shared" ref="K4:K67" si="0" xml:space="preserve"> (J5-J4)/J4</f>
        <v>-6.5243179122182679E-2</v>
      </c>
      <c r="L4" s="4">
        <v>87.040001000000004</v>
      </c>
      <c r="M4" s="10">
        <f t="shared" ref="M4:M67" si="1" xml:space="preserve"> (L5-L4)/L4</f>
        <v>2.4931042912097308E-2</v>
      </c>
      <c r="N4" s="11">
        <v>-1.459692</v>
      </c>
    </row>
    <row r="5" spans="1:14" x14ac:dyDescent="0.2">
      <c r="A5" s="3" t="s">
        <v>11</v>
      </c>
      <c r="B5" s="4">
        <v>1298.5</v>
      </c>
      <c r="C5" s="4">
        <v>1258.8399999999999</v>
      </c>
      <c r="D5" s="4">
        <v>582.02</v>
      </c>
      <c r="E5" s="4">
        <v>4585.6099999999997</v>
      </c>
      <c r="F5" s="4">
        <v>13.95</v>
      </c>
      <c r="G5" s="4">
        <v>14.85</v>
      </c>
      <c r="H5" s="4">
        <v>11422.1</v>
      </c>
      <c r="I5" s="4">
        <v>509.27</v>
      </c>
      <c r="J5" s="4">
        <v>78.8</v>
      </c>
      <c r="K5" s="10">
        <f t="shared" si="0"/>
        <v>3.5532994923857836E-2</v>
      </c>
      <c r="L5" s="4">
        <v>89.209998999999996</v>
      </c>
      <c r="M5" s="10">
        <f t="shared" si="1"/>
        <v>8.5416467721292064E-2</v>
      </c>
      <c r="N5" s="11">
        <v>-1.3607880000000001</v>
      </c>
    </row>
    <row r="6" spans="1:14" x14ac:dyDescent="0.2">
      <c r="A6" s="3" t="s">
        <v>12</v>
      </c>
      <c r="B6" s="5">
        <v>1258.8</v>
      </c>
      <c r="C6" s="5">
        <v>1285.29</v>
      </c>
      <c r="D6" s="5">
        <v>573.20000000000005</v>
      </c>
      <c r="E6" s="5">
        <v>4695.84</v>
      </c>
      <c r="F6" s="5">
        <v>13.83</v>
      </c>
      <c r="G6" s="5">
        <v>14.85</v>
      </c>
      <c r="H6" s="5">
        <v>11005.5</v>
      </c>
      <c r="I6" s="5">
        <v>553.36</v>
      </c>
      <c r="J6" s="5">
        <v>81.599999999999994</v>
      </c>
      <c r="K6" s="10">
        <f t="shared" si="0"/>
        <v>1.5931372549019749E-2</v>
      </c>
      <c r="L6" s="4">
        <v>96.830001999999993</v>
      </c>
      <c r="M6" s="10">
        <f t="shared" si="1"/>
        <v>4.234183533322727E-3</v>
      </c>
      <c r="N6" s="11">
        <v>-1.1466510000000001</v>
      </c>
    </row>
    <row r="7" spans="1:14" x14ac:dyDescent="0.2">
      <c r="A7" s="3" t="s">
        <v>13</v>
      </c>
      <c r="B7" s="4">
        <v>1236.8</v>
      </c>
      <c r="C7" s="4">
        <v>1305.1400000000001</v>
      </c>
      <c r="D7" s="4">
        <v>544.54</v>
      </c>
      <c r="E7" s="4">
        <v>4695.84</v>
      </c>
      <c r="F7" s="4">
        <v>13.9</v>
      </c>
      <c r="G7" s="4">
        <v>14.85</v>
      </c>
      <c r="H7" s="4">
        <v>11704.3</v>
      </c>
      <c r="I7" s="4">
        <v>559.97</v>
      </c>
      <c r="J7" s="4">
        <v>82.9</v>
      </c>
      <c r="K7" s="10">
        <f t="shared" si="0"/>
        <v>-3.498190591073589E-2</v>
      </c>
      <c r="L7" s="4">
        <v>97.239998</v>
      </c>
      <c r="M7" s="10">
        <f t="shared" si="1"/>
        <v>-1.7585345898505637E-2</v>
      </c>
      <c r="N7" s="11">
        <v>-1.2057070000000001</v>
      </c>
    </row>
    <row r="8" spans="1:14" x14ac:dyDescent="0.2">
      <c r="A8" s="3" t="s">
        <v>14</v>
      </c>
      <c r="B8" s="5">
        <v>1247.8</v>
      </c>
      <c r="C8" s="5">
        <v>1331.59</v>
      </c>
      <c r="D8" s="5">
        <v>571</v>
      </c>
      <c r="E8" s="5">
        <v>4673.79</v>
      </c>
      <c r="F8" s="5">
        <v>13.95</v>
      </c>
      <c r="G8" s="5">
        <v>14.85</v>
      </c>
      <c r="H8" s="5">
        <v>12356.9</v>
      </c>
      <c r="I8" s="5">
        <v>577.61</v>
      </c>
      <c r="J8" s="5">
        <v>80</v>
      </c>
      <c r="K8" s="10">
        <f t="shared" si="0"/>
        <v>3.0000000000000072E-2</v>
      </c>
      <c r="L8" s="4">
        <v>95.529999000000004</v>
      </c>
      <c r="M8" s="10">
        <f t="shared" si="1"/>
        <v>5.3909777597715695E-2</v>
      </c>
      <c r="N8" s="11">
        <v>-1.2268790000000001</v>
      </c>
    </row>
    <row r="9" spans="1:14" x14ac:dyDescent="0.2">
      <c r="A9" s="3" t="s">
        <v>15</v>
      </c>
      <c r="B9" s="4">
        <v>1289.7</v>
      </c>
      <c r="C9" s="4">
        <v>1336</v>
      </c>
      <c r="D9" s="4">
        <v>582.02</v>
      </c>
      <c r="E9" s="4">
        <v>4585.6099999999997</v>
      </c>
      <c r="F9" s="4">
        <v>13.89</v>
      </c>
      <c r="G9" s="4">
        <v>14.85</v>
      </c>
      <c r="H9" s="4">
        <v>12414.2</v>
      </c>
      <c r="I9" s="4">
        <v>584.22</v>
      </c>
      <c r="J9" s="4">
        <v>82.4</v>
      </c>
      <c r="K9" s="10">
        <f t="shared" si="0"/>
        <v>-4.8543689320388349E-2</v>
      </c>
      <c r="L9" s="4">
        <v>100.68</v>
      </c>
      <c r="M9" s="10">
        <f t="shared" si="1"/>
        <v>2.5923728645212522E-2</v>
      </c>
      <c r="N9" s="11">
        <v>-1.3169759999999999</v>
      </c>
    </row>
    <row r="10" spans="1:14" x14ac:dyDescent="0.2">
      <c r="A10" s="3" t="s">
        <v>16</v>
      </c>
      <c r="B10" s="5">
        <v>1320.6</v>
      </c>
      <c r="C10" s="5">
        <v>1426.39</v>
      </c>
      <c r="D10" s="5">
        <v>639.34</v>
      </c>
      <c r="E10" s="5">
        <v>4585.6099999999997</v>
      </c>
      <c r="F10" s="5">
        <v>13.96</v>
      </c>
      <c r="G10" s="5">
        <v>14.85</v>
      </c>
      <c r="H10" s="5">
        <v>12994.5</v>
      </c>
      <c r="I10" s="5">
        <v>619.28</v>
      </c>
      <c r="J10" s="5">
        <v>78.400000000000006</v>
      </c>
      <c r="K10" s="10">
        <f t="shared" si="0"/>
        <v>2.551020408163265E-2</v>
      </c>
      <c r="L10" s="4">
        <v>103.290001</v>
      </c>
      <c r="M10" s="10">
        <f t="shared" si="1"/>
        <v>-7.2611094272329417E-3</v>
      </c>
      <c r="N10" s="11">
        <v>-1.2896049999999999</v>
      </c>
    </row>
    <row r="11" spans="1:14" x14ac:dyDescent="0.2">
      <c r="A11" s="3" t="s">
        <v>17</v>
      </c>
      <c r="B11" s="4">
        <v>1382.3</v>
      </c>
      <c r="C11" s="4">
        <v>1444.47</v>
      </c>
      <c r="D11" s="4">
        <v>692.25</v>
      </c>
      <c r="E11" s="4">
        <v>4585.6099999999997</v>
      </c>
      <c r="F11" s="4">
        <v>14.09</v>
      </c>
      <c r="G11" s="4">
        <v>14.85</v>
      </c>
      <c r="H11" s="4">
        <v>13889.1</v>
      </c>
      <c r="I11" s="4">
        <v>634.92999999999995</v>
      </c>
      <c r="J11" s="4">
        <v>80.400000000000006</v>
      </c>
      <c r="K11" s="10">
        <f t="shared" si="0"/>
        <v>-1.3681592039801099E-2</v>
      </c>
      <c r="L11" s="4">
        <v>102.540001</v>
      </c>
      <c r="M11" s="10">
        <f t="shared" si="1"/>
        <v>-9.1574009249327029E-2</v>
      </c>
      <c r="N11" s="11">
        <v>-1.2069829999999999</v>
      </c>
    </row>
    <row r="12" spans="1:14" x14ac:dyDescent="0.2">
      <c r="A12" s="3" t="s">
        <v>18</v>
      </c>
      <c r="B12" s="5">
        <v>1424.6</v>
      </c>
      <c r="C12" s="5">
        <v>1505.76</v>
      </c>
      <c r="D12" s="5">
        <v>831.14</v>
      </c>
      <c r="E12" s="5">
        <v>4585.6099999999997</v>
      </c>
      <c r="F12" s="5">
        <v>14.35</v>
      </c>
      <c r="G12" s="5">
        <v>14.85</v>
      </c>
      <c r="H12" s="5">
        <v>15256</v>
      </c>
      <c r="I12" s="5">
        <v>714.3</v>
      </c>
      <c r="J12" s="5">
        <v>79.3</v>
      </c>
      <c r="K12" s="10">
        <f t="shared" si="0"/>
        <v>-5.4224464060529602E-2</v>
      </c>
      <c r="L12" s="4">
        <v>93.150002000000001</v>
      </c>
      <c r="M12" s="10">
        <f t="shared" si="1"/>
        <v>1.6639774199897445E-2</v>
      </c>
      <c r="N12" s="11">
        <v>-1.1814260000000001</v>
      </c>
    </row>
    <row r="13" spans="1:14" x14ac:dyDescent="0.2">
      <c r="A13" s="3" t="s">
        <v>19</v>
      </c>
      <c r="B13" s="4">
        <v>1394.4</v>
      </c>
      <c r="C13" s="4">
        <v>1474.89</v>
      </c>
      <c r="D13" s="4">
        <v>806.89</v>
      </c>
      <c r="E13" s="4">
        <v>4585.6099999999997</v>
      </c>
      <c r="F13" s="4">
        <v>14.9</v>
      </c>
      <c r="G13" s="4">
        <v>14.85</v>
      </c>
      <c r="H13" s="4">
        <v>15035.5</v>
      </c>
      <c r="I13" s="4">
        <v>688.72</v>
      </c>
      <c r="J13" s="4">
        <v>75</v>
      </c>
      <c r="K13" s="10">
        <f t="shared" si="0"/>
        <v>-0.11866666666666674</v>
      </c>
      <c r="L13" s="4">
        <v>94.699996999999996</v>
      </c>
      <c r="M13" s="10">
        <f t="shared" si="1"/>
        <v>1.4889166258368527E-2</v>
      </c>
      <c r="N13" s="11">
        <v>-1.1674580000000001</v>
      </c>
    </row>
    <row r="14" spans="1:14" x14ac:dyDescent="0.2">
      <c r="A14" s="3" t="s">
        <v>20</v>
      </c>
      <c r="B14" s="5">
        <v>1408.8</v>
      </c>
      <c r="C14" s="5">
        <v>1532.21</v>
      </c>
      <c r="D14" s="5">
        <v>857.6</v>
      </c>
      <c r="E14" s="5">
        <v>4585.6099999999997</v>
      </c>
      <c r="F14" s="5">
        <v>16.25</v>
      </c>
      <c r="G14" s="5">
        <v>14.84</v>
      </c>
      <c r="H14" s="5">
        <v>14153.7</v>
      </c>
      <c r="I14" s="5">
        <v>685.64</v>
      </c>
      <c r="J14" s="5">
        <v>66.099999999999994</v>
      </c>
      <c r="K14" s="10">
        <f t="shared" si="0"/>
        <v>9.077155824508322E-2</v>
      </c>
      <c r="L14" s="4">
        <v>96.110000999999997</v>
      </c>
      <c r="M14" s="10">
        <f t="shared" si="1"/>
        <v>3.9746113414357472E-2</v>
      </c>
      <c r="N14" s="11">
        <v>-1.1270929999999999</v>
      </c>
    </row>
    <row r="15" spans="1:14" x14ac:dyDescent="0.2">
      <c r="A15" s="3" t="s">
        <v>21</v>
      </c>
      <c r="B15" s="4">
        <v>1264.8</v>
      </c>
      <c r="C15" s="4">
        <v>1657.87</v>
      </c>
      <c r="D15" s="4">
        <v>994.28</v>
      </c>
      <c r="E15" s="4">
        <v>4585.6099999999997</v>
      </c>
      <c r="F15" s="4">
        <v>18.95</v>
      </c>
      <c r="G15" s="4">
        <v>15.84</v>
      </c>
      <c r="H15" s="4">
        <v>13853.8</v>
      </c>
      <c r="I15" s="4">
        <v>718.71</v>
      </c>
      <c r="J15" s="4">
        <v>72.099999999999994</v>
      </c>
      <c r="K15" s="10">
        <f t="shared" si="0"/>
        <v>2.4965325936199882E-2</v>
      </c>
      <c r="L15" s="4">
        <v>99.93</v>
      </c>
      <c r="M15" s="10">
        <f t="shared" si="1"/>
        <v>-3.6525577904533202E-2</v>
      </c>
      <c r="N15" s="11">
        <v>-0.95686519999999997</v>
      </c>
    </row>
    <row r="16" spans="1:14" x14ac:dyDescent="0.2">
      <c r="A16" s="3" t="s">
        <v>22</v>
      </c>
      <c r="B16" s="5">
        <v>1441.9</v>
      </c>
      <c r="C16" s="5">
        <v>1812.2</v>
      </c>
      <c r="D16" s="5">
        <v>1053.81</v>
      </c>
      <c r="E16" s="5">
        <v>4585.6099999999997</v>
      </c>
      <c r="F16" s="5">
        <v>22</v>
      </c>
      <c r="G16" s="5">
        <v>15.85</v>
      </c>
      <c r="H16" s="5">
        <v>14526.2</v>
      </c>
      <c r="I16" s="5">
        <v>791.46</v>
      </c>
      <c r="J16" s="5">
        <v>73.900000000000006</v>
      </c>
      <c r="K16" s="10">
        <f t="shared" si="0"/>
        <v>-7.4424898511502025E-2</v>
      </c>
      <c r="L16" s="4">
        <v>96.279999000000004</v>
      </c>
      <c r="M16" s="10">
        <f t="shared" si="1"/>
        <v>5.5151610460652326E-2</v>
      </c>
      <c r="N16" s="11">
        <v>-1.002006</v>
      </c>
    </row>
    <row r="17" spans="1:14" x14ac:dyDescent="0.2">
      <c r="A17" s="3" t="s">
        <v>23</v>
      </c>
      <c r="B17" s="4">
        <v>1541.7</v>
      </c>
      <c r="C17" s="4">
        <v>2048.09</v>
      </c>
      <c r="D17" s="4">
        <v>1175.06</v>
      </c>
      <c r="E17" s="4">
        <v>4739.93</v>
      </c>
      <c r="F17" s="4">
        <v>23.25</v>
      </c>
      <c r="G17" s="4">
        <v>15.84</v>
      </c>
      <c r="H17" s="4">
        <v>15022.3</v>
      </c>
      <c r="I17" s="4">
        <v>793.66</v>
      </c>
      <c r="J17" s="4">
        <v>68.400000000000006</v>
      </c>
      <c r="K17" s="10">
        <f t="shared" si="0"/>
        <v>-3.5087719298245695E-2</v>
      </c>
      <c r="L17" s="4">
        <v>101.589996</v>
      </c>
      <c r="M17" s="10">
        <f t="shared" si="1"/>
        <v>1.6734521773187269E-3</v>
      </c>
      <c r="N17" s="11">
        <v>-1.0575540000000001</v>
      </c>
    </row>
    <row r="18" spans="1:14" x14ac:dyDescent="0.2">
      <c r="A18" s="3" t="s">
        <v>24</v>
      </c>
      <c r="B18" s="5">
        <v>1569.2</v>
      </c>
      <c r="C18" s="5">
        <v>2098.8000000000002</v>
      </c>
      <c r="D18" s="5">
        <v>1159.6300000000001</v>
      </c>
      <c r="E18" s="5">
        <v>5291.09</v>
      </c>
      <c r="F18" s="5">
        <v>23.65</v>
      </c>
      <c r="G18" s="5">
        <v>18.09</v>
      </c>
      <c r="H18" s="5">
        <v>15136.9</v>
      </c>
      <c r="I18" s="5">
        <v>787.05</v>
      </c>
      <c r="J18" s="5">
        <v>66</v>
      </c>
      <c r="K18" s="10">
        <f t="shared" si="0"/>
        <v>3.1818181818181732E-2</v>
      </c>
      <c r="L18" s="4">
        <v>101.760002</v>
      </c>
      <c r="M18" s="10">
        <f t="shared" si="1"/>
        <v>-2.6336477469802003E-2</v>
      </c>
      <c r="N18" s="11">
        <v>-1.0383599999999999</v>
      </c>
    </row>
    <row r="19" spans="1:14" x14ac:dyDescent="0.2">
      <c r="A19" s="3" t="s">
        <v>25</v>
      </c>
      <c r="B19" s="4">
        <v>1576.1</v>
      </c>
      <c r="C19" s="4">
        <v>1924.63</v>
      </c>
      <c r="D19" s="4">
        <v>1239</v>
      </c>
      <c r="E19" s="4">
        <v>5974.52</v>
      </c>
      <c r="F19" s="4">
        <v>32.75</v>
      </c>
      <c r="G19" s="4">
        <v>19.100000000000001</v>
      </c>
      <c r="H19" s="4">
        <v>15361.8</v>
      </c>
      <c r="I19" s="4">
        <v>778.23</v>
      </c>
      <c r="J19" s="4">
        <v>68.099999999999994</v>
      </c>
      <c r="K19" s="10">
        <f t="shared" si="0"/>
        <v>-3.3773861967694531E-2</v>
      </c>
      <c r="L19" s="4">
        <v>99.080001999999993</v>
      </c>
      <c r="M19" s="10">
        <f t="shared" si="1"/>
        <v>3.8655651218093515E-2</v>
      </c>
      <c r="N19" s="11">
        <v>-0.95030139999999996</v>
      </c>
    </row>
    <row r="20" spans="1:14" x14ac:dyDescent="0.2">
      <c r="A20" s="3" t="s">
        <v>26</v>
      </c>
      <c r="B20" s="5">
        <v>1596.6</v>
      </c>
      <c r="C20" s="5">
        <v>1876.13</v>
      </c>
      <c r="D20" s="5">
        <v>1380.09</v>
      </c>
      <c r="E20" s="5">
        <v>6503.63</v>
      </c>
      <c r="F20" s="5">
        <v>36.5</v>
      </c>
      <c r="G20" s="5">
        <v>24.29</v>
      </c>
      <c r="H20" s="5">
        <v>16135.6</v>
      </c>
      <c r="I20" s="5">
        <v>751.78</v>
      </c>
      <c r="J20" s="5">
        <v>65.8</v>
      </c>
      <c r="K20" s="10">
        <f t="shared" si="0"/>
        <v>-8.2066869300911838E-2</v>
      </c>
      <c r="L20" s="4">
        <v>102.910004</v>
      </c>
      <c r="M20" s="10">
        <f t="shared" si="1"/>
        <v>8.7454471384530545E-3</v>
      </c>
      <c r="N20" s="11">
        <v>-0.73698059999999999</v>
      </c>
    </row>
    <row r="21" spans="1:14" x14ac:dyDescent="0.2">
      <c r="A21" s="3" t="s">
        <v>27</v>
      </c>
      <c r="B21" s="4">
        <v>1534.5</v>
      </c>
      <c r="C21" s="4">
        <v>1812.2</v>
      </c>
      <c r="D21" s="4">
        <v>1270.74</v>
      </c>
      <c r="E21" s="4">
        <v>6613.86</v>
      </c>
      <c r="F21" s="4">
        <v>35</v>
      </c>
      <c r="G21" s="4">
        <v>26.49</v>
      </c>
      <c r="H21" s="4">
        <v>15780.7</v>
      </c>
      <c r="I21" s="4">
        <v>720.69</v>
      </c>
      <c r="J21" s="4">
        <v>60.4</v>
      </c>
      <c r="K21" s="10">
        <f t="shared" si="0"/>
        <v>6.7880794701986782E-2</v>
      </c>
      <c r="L21" s="4">
        <v>103.80999799999999</v>
      </c>
      <c r="M21" s="10">
        <f t="shared" si="1"/>
        <v>5.3077758464073956E-2</v>
      </c>
      <c r="N21" s="11">
        <v>-0.59321310000000005</v>
      </c>
    </row>
    <row r="22" spans="1:14" x14ac:dyDescent="0.2">
      <c r="A22" s="3" t="s">
        <v>28</v>
      </c>
      <c r="B22" s="5">
        <v>1561.9</v>
      </c>
      <c r="C22" s="5">
        <v>1975.34</v>
      </c>
      <c r="D22" s="5">
        <v>1212.54</v>
      </c>
      <c r="E22" s="5">
        <v>6613.86</v>
      </c>
      <c r="F22" s="5">
        <v>35.75</v>
      </c>
      <c r="G22" s="5">
        <v>29.02</v>
      </c>
      <c r="H22" s="5">
        <v>14793</v>
      </c>
      <c r="I22" s="5">
        <v>669.98</v>
      </c>
      <c r="J22" s="5">
        <v>64.5</v>
      </c>
      <c r="K22" s="10">
        <f t="shared" si="0"/>
        <v>3.4108527131782987E-2</v>
      </c>
      <c r="L22" s="4">
        <v>109.32</v>
      </c>
      <c r="M22" s="10">
        <f t="shared" si="1"/>
        <v>0</v>
      </c>
      <c r="N22" s="11">
        <v>-0.51475870000000001</v>
      </c>
    </row>
    <row r="23" spans="1:14" x14ac:dyDescent="0.2">
      <c r="A23" s="3" t="s">
        <v>29</v>
      </c>
      <c r="B23" s="4">
        <v>1615.6</v>
      </c>
      <c r="C23" s="4">
        <v>2094.39</v>
      </c>
      <c r="D23" s="4">
        <v>1230.18</v>
      </c>
      <c r="E23" s="4">
        <v>6613.86</v>
      </c>
      <c r="F23" s="4">
        <v>36.5</v>
      </c>
      <c r="G23" s="4">
        <v>31</v>
      </c>
      <c r="H23" s="4">
        <v>15399.3</v>
      </c>
      <c r="I23" s="4">
        <v>723.12</v>
      </c>
      <c r="J23" s="4">
        <v>66.7</v>
      </c>
      <c r="K23" s="10">
        <f t="shared" si="0"/>
        <v>-6.8965517241379323E-2</v>
      </c>
      <c r="L23" s="4">
        <v>109.32</v>
      </c>
      <c r="M23" s="10">
        <f t="shared" si="1"/>
        <v>-6.8605927552140511E-2</v>
      </c>
      <c r="N23" s="11">
        <v>-0.47899429999999998</v>
      </c>
    </row>
    <row r="24" spans="1:14" x14ac:dyDescent="0.2">
      <c r="A24" s="3" t="s">
        <v>30</v>
      </c>
      <c r="B24" s="5">
        <v>1786.2</v>
      </c>
      <c r="C24" s="5">
        <v>2074.5500000000002</v>
      </c>
      <c r="D24" s="5">
        <v>1318.36</v>
      </c>
      <c r="E24" s="5">
        <v>6613.86</v>
      </c>
      <c r="F24" s="5">
        <v>38.5</v>
      </c>
      <c r="G24" s="5">
        <v>32.46</v>
      </c>
      <c r="H24" s="5">
        <v>16012.2</v>
      </c>
      <c r="I24" s="5">
        <v>705.48</v>
      </c>
      <c r="J24" s="5">
        <v>62.1</v>
      </c>
      <c r="K24" s="10">
        <f t="shared" si="0"/>
        <v>1.9323671497584471E-2</v>
      </c>
      <c r="L24" s="4">
        <v>101.82</v>
      </c>
      <c r="M24" s="10">
        <f t="shared" si="1"/>
        <v>4.2624278137890471E-2</v>
      </c>
      <c r="N24" s="11">
        <v>-0.76017429999999997</v>
      </c>
    </row>
    <row r="25" spans="1:14" x14ac:dyDescent="0.2">
      <c r="A25" s="3" t="s">
        <v>31</v>
      </c>
      <c r="B25" s="4">
        <v>1832.5</v>
      </c>
      <c r="C25" s="4">
        <v>2088.88</v>
      </c>
      <c r="D25" s="4">
        <v>1223.3399999999999</v>
      </c>
      <c r="E25" s="4">
        <v>6613.86</v>
      </c>
      <c r="F25" s="4">
        <v>42</v>
      </c>
      <c r="G25" s="4">
        <v>35.049999999999997</v>
      </c>
      <c r="H25" s="4">
        <v>16360.5</v>
      </c>
      <c r="I25" s="4">
        <v>701.07</v>
      </c>
      <c r="J25" s="4">
        <v>63.3</v>
      </c>
      <c r="K25" s="10">
        <f t="shared" si="0"/>
        <v>-3.6334913112164254E-2</v>
      </c>
      <c r="L25" s="4">
        <v>106.160004</v>
      </c>
      <c r="M25" s="10">
        <f t="shared" si="1"/>
        <v>1.6767124462429429E-2</v>
      </c>
      <c r="N25" s="11">
        <v>-0.71363290000000001</v>
      </c>
    </row>
    <row r="26" spans="1:14" x14ac:dyDescent="0.2">
      <c r="A26" s="3" t="s">
        <v>32</v>
      </c>
      <c r="B26" s="5">
        <v>1913.5</v>
      </c>
      <c r="C26" s="5">
        <v>2213</v>
      </c>
      <c r="D26" s="5">
        <v>1175.94</v>
      </c>
      <c r="E26" s="5">
        <v>6944.55</v>
      </c>
      <c r="F26" s="5">
        <v>40.5</v>
      </c>
      <c r="G26" s="5">
        <v>38.03</v>
      </c>
      <c r="H26" s="5">
        <v>16986.599999999999</v>
      </c>
      <c r="I26" s="5">
        <v>749.13</v>
      </c>
      <c r="J26" s="5">
        <v>61</v>
      </c>
      <c r="K26" s="10">
        <f t="shared" si="0"/>
        <v>9.8360655737704916E-2</v>
      </c>
      <c r="L26" s="4">
        <v>107.94000200000001</v>
      </c>
      <c r="M26" s="10">
        <f t="shared" si="1"/>
        <v>5.7624623723834964E-2</v>
      </c>
      <c r="N26" s="11">
        <v>-0.66251610000000005</v>
      </c>
    </row>
    <row r="27" spans="1:14" x14ac:dyDescent="0.2">
      <c r="A27" s="3" t="s">
        <v>33</v>
      </c>
      <c r="B27" s="4">
        <v>2054.9</v>
      </c>
      <c r="C27" s="4">
        <v>2592.63</v>
      </c>
      <c r="D27" s="4">
        <v>1111.1300000000001</v>
      </c>
      <c r="E27" s="4">
        <v>6584.8</v>
      </c>
      <c r="F27" s="4">
        <v>40</v>
      </c>
      <c r="G27" s="4">
        <v>37</v>
      </c>
      <c r="H27" s="4">
        <v>16973.599999999999</v>
      </c>
      <c r="I27" s="4">
        <v>773.82</v>
      </c>
      <c r="J27" s="4">
        <v>67</v>
      </c>
      <c r="K27" s="10">
        <f t="shared" si="0"/>
        <v>-1.4925373134327511E-3</v>
      </c>
      <c r="L27" s="4">
        <v>114.160004</v>
      </c>
      <c r="M27" s="10">
        <f t="shared" si="1"/>
        <v>-4.3798176461171115E-3</v>
      </c>
      <c r="N27" s="11">
        <v>-0.72610660000000005</v>
      </c>
    </row>
    <row r="28" spans="1:14" x14ac:dyDescent="0.2">
      <c r="A28" s="3" t="s">
        <v>34</v>
      </c>
      <c r="B28" s="5">
        <v>2131</v>
      </c>
      <c r="C28" s="5">
        <v>2916.71</v>
      </c>
      <c r="D28" s="5">
        <v>1166.24</v>
      </c>
      <c r="E28" s="5">
        <v>6978.93</v>
      </c>
      <c r="F28" s="5">
        <v>38.5</v>
      </c>
      <c r="G28" s="5">
        <v>37.04</v>
      </c>
      <c r="H28" s="5">
        <v>17090.2</v>
      </c>
      <c r="I28" s="5">
        <v>868.62</v>
      </c>
      <c r="J28" s="5">
        <v>66.900000000000006</v>
      </c>
      <c r="K28" s="10">
        <f t="shared" si="0"/>
        <v>-0.15545590433482817</v>
      </c>
      <c r="L28" s="4">
        <v>113.660004</v>
      </c>
      <c r="M28" s="10">
        <f t="shared" si="1"/>
        <v>-0.10179489347897613</v>
      </c>
      <c r="N28" s="11">
        <v>-0.71371660000000003</v>
      </c>
    </row>
    <row r="29" spans="1:14" x14ac:dyDescent="0.2">
      <c r="A29" s="3" t="s">
        <v>35</v>
      </c>
      <c r="B29" s="4">
        <v>1978.4</v>
      </c>
      <c r="C29" s="4">
        <v>2303.83</v>
      </c>
      <c r="D29" s="4">
        <v>1117.74</v>
      </c>
      <c r="E29" s="4">
        <v>6733.79</v>
      </c>
      <c r="F29" s="4">
        <v>38.25</v>
      </c>
      <c r="G29" s="4">
        <v>39.520000000000003</v>
      </c>
      <c r="H29" s="4">
        <v>17460.599999999999</v>
      </c>
      <c r="I29" s="4">
        <v>740.75</v>
      </c>
      <c r="J29" s="4">
        <v>56.5</v>
      </c>
      <c r="K29" s="10">
        <f t="shared" si="0"/>
        <v>-6.7256637168141536E-2</v>
      </c>
      <c r="L29" s="4">
        <v>102.089996</v>
      </c>
      <c r="M29" s="10">
        <f t="shared" si="1"/>
        <v>4.1140221026162098E-2</v>
      </c>
      <c r="N29" s="11">
        <v>-0.53791049999999996</v>
      </c>
    </row>
    <row r="30" spans="1:14" x14ac:dyDescent="0.2">
      <c r="A30" s="3" t="s">
        <v>36</v>
      </c>
      <c r="B30" s="5">
        <v>1932.5</v>
      </c>
      <c r="C30" s="5">
        <v>2074.5500000000002</v>
      </c>
      <c r="D30" s="5">
        <v>970.03</v>
      </c>
      <c r="E30" s="5">
        <v>6233.37</v>
      </c>
      <c r="F30" s="5">
        <v>38.15</v>
      </c>
      <c r="G30" s="5">
        <v>39.5</v>
      </c>
      <c r="H30" s="5">
        <v>17041.7</v>
      </c>
      <c r="I30" s="5">
        <v>707.68</v>
      </c>
      <c r="J30" s="5">
        <v>52.7</v>
      </c>
      <c r="K30" s="10">
        <f t="shared" si="0"/>
        <v>-1.8975332068311195E-2</v>
      </c>
      <c r="L30" s="4">
        <v>106.290001</v>
      </c>
      <c r="M30" s="10">
        <f t="shared" si="1"/>
        <v>4.6570674131426494E-2</v>
      </c>
      <c r="N30" s="11">
        <v>-0.58155710000000005</v>
      </c>
    </row>
    <row r="31" spans="1:14" x14ac:dyDescent="0.2">
      <c r="A31" s="3" t="s">
        <v>37</v>
      </c>
      <c r="B31" s="4">
        <v>1775.8</v>
      </c>
      <c r="C31" s="4">
        <v>2076.75</v>
      </c>
      <c r="D31" s="4">
        <v>793.66</v>
      </c>
      <c r="E31" s="4">
        <v>6000.77</v>
      </c>
      <c r="F31" s="4">
        <v>38.5</v>
      </c>
      <c r="G31" s="4">
        <v>39.5</v>
      </c>
      <c r="H31" s="4">
        <v>17180.599999999999</v>
      </c>
      <c r="I31" s="4">
        <v>701.07</v>
      </c>
      <c r="J31" s="4">
        <v>51.7</v>
      </c>
      <c r="K31" s="10">
        <f t="shared" si="0"/>
        <v>0.13539651837524178</v>
      </c>
      <c r="L31" s="4">
        <v>111.239998</v>
      </c>
      <c r="M31" s="10">
        <f t="shared" si="1"/>
        <v>2.6968716773979086E-2</v>
      </c>
      <c r="N31" s="11">
        <v>-0.34750789999999998</v>
      </c>
    </row>
    <row r="32" spans="1:14" x14ac:dyDescent="0.2">
      <c r="A32" s="3" t="s">
        <v>38</v>
      </c>
      <c r="B32" s="5">
        <v>1669</v>
      </c>
      <c r="C32" s="5">
        <v>2006.2</v>
      </c>
      <c r="D32" s="5">
        <v>736.34</v>
      </c>
      <c r="E32" s="5">
        <v>6294.83</v>
      </c>
      <c r="F32" s="5">
        <v>38</v>
      </c>
      <c r="G32" s="5">
        <v>39.5</v>
      </c>
      <c r="H32" s="5">
        <v>17211.5</v>
      </c>
      <c r="I32" s="5">
        <v>676.82</v>
      </c>
      <c r="J32" s="5">
        <v>58.7</v>
      </c>
      <c r="K32" s="10">
        <f t="shared" si="0"/>
        <v>6.132879045996583E-2</v>
      </c>
      <c r="L32" s="4">
        <v>114.239998</v>
      </c>
      <c r="M32" s="10">
        <f t="shared" si="1"/>
        <v>6.5038516544792022E-2</v>
      </c>
      <c r="N32" s="11">
        <v>-0.27812609999999999</v>
      </c>
    </row>
    <row r="33" spans="1:14" x14ac:dyDescent="0.2">
      <c r="A33" s="3" t="s">
        <v>39</v>
      </c>
      <c r="B33" s="4">
        <v>1758.1</v>
      </c>
      <c r="C33" s="4">
        <v>2175.96</v>
      </c>
      <c r="D33" s="4">
        <v>809.1</v>
      </c>
      <c r="E33" s="4">
        <v>6622.17</v>
      </c>
      <c r="F33" s="4">
        <v>37.4</v>
      </c>
      <c r="G33" s="4">
        <v>39.49</v>
      </c>
      <c r="H33" s="4">
        <v>17090.2</v>
      </c>
      <c r="I33" s="4">
        <v>712.09</v>
      </c>
      <c r="J33" s="4">
        <v>62.3</v>
      </c>
      <c r="K33" s="10">
        <f t="shared" si="0"/>
        <v>8.0256821829855537E-2</v>
      </c>
      <c r="L33" s="4">
        <v>121.66999800000001</v>
      </c>
      <c r="M33" s="10">
        <f t="shared" si="1"/>
        <v>5.8354484398035105E-3</v>
      </c>
      <c r="N33" s="11">
        <v>-0.23991989999999999</v>
      </c>
    </row>
    <row r="34" spans="1:14" x14ac:dyDescent="0.2">
      <c r="A34" s="3" t="s">
        <v>40</v>
      </c>
      <c r="B34" s="5">
        <v>1783.6</v>
      </c>
      <c r="C34" s="5">
        <v>2081.16</v>
      </c>
      <c r="D34" s="5">
        <v>850.98</v>
      </c>
      <c r="E34" s="5">
        <v>6584.51</v>
      </c>
      <c r="F34" s="5">
        <v>33.6</v>
      </c>
      <c r="G34" s="5">
        <v>38.01</v>
      </c>
      <c r="H34" s="5">
        <v>17008.599999999999</v>
      </c>
      <c r="I34" s="5">
        <v>767.21</v>
      </c>
      <c r="J34" s="5">
        <v>67.3</v>
      </c>
      <c r="K34" s="10">
        <f t="shared" si="0"/>
        <v>9.50965824665677E-2</v>
      </c>
      <c r="L34" s="4">
        <v>122.379997</v>
      </c>
      <c r="M34" s="10">
        <f t="shared" si="1"/>
        <v>2.5167527990705811E-2</v>
      </c>
      <c r="N34" s="11">
        <v>-0.30690489999999998</v>
      </c>
    </row>
    <row r="35" spans="1:14" x14ac:dyDescent="0.2">
      <c r="A35" s="3" t="s">
        <v>41</v>
      </c>
      <c r="B35" s="4">
        <v>1655.1</v>
      </c>
      <c r="C35" s="4">
        <v>2059.11</v>
      </c>
      <c r="D35" s="4">
        <v>881.85</v>
      </c>
      <c r="E35" s="4">
        <v>6655.36</v>
      </c>
      <c r="F35" s="4">
        <v>33.4</v>
      </c>
      <c r="G35" s="4">
        <v>36.020000000000003</v>
      </c>
      <c r="H35" s="4">
        <v>17295.2</v>
      </c>
      <c r="I35" s="4">
        <v>795.87</v>
      </c>
      <c r="J35" s="4">
        <v>73.7</v>
      </c>
      <c r="K35" s="10">
        <f t="shared" si="0"/>
        <v>1.7639077340569839E-2</v>
      </c>
      <c r="L35" s="4">
        <v>125.459999</v>
      </c>
      <c r="M35" s="10">
        <f t="shared" si="1"/>
        <v>1.6021058632401233E-2</v>
      </c>
      <c r="N35" s="11">
        <v>-0.35325800000000002</v>
      </c>
    </row>
    <row r="36" spans="1:14" x14ac:dyDescent="0.2">
      <c r="A36" s="3" t="s">
        <v>42</v>
      </c>
      <c r="B36" s="5">
        <v>1626.2</v>
      </c>
      <c r="C36" s="5">
        <v>2045.89</v>
      </c>
      <c r="D36" s="5">
        <v>870.82</v>
      </c>
      <c r="E36" s="5">
        <v>6691.95</v>
      </c>
      <c r="F36" s="5">
        <v>37.9</v>
      </c>
      <c r="G36" s="5">
        <v>36</v>
      </c>
      <c r="H36" s="5">
        <v>16682.400000000001</v>
      </c>
      <c r="I36" s="5">
        <v>804.69</v>
      </c>
      <c r="J36" s="5">
        <v>75</v>
      </c>
      <c r="K36" s="10">
        <f t="shared" si="0"/>
        <v>2.2666666666666703E-2</v>
      </c>
      <c r="L36" s="4">
        <v>127.470001</v>
      </c>
      <c r="M36" s="10">
        <f t="shared" si="1"/>
        <v>0.10237705262118892</v>
      </c>
      <c r="N36" s="11">
        <v>-0.3375417</v>
      </c>
    </row>
    <row r="37" spans="1:14" x14ac:dyDescent="0.2">
      <c r="A37" s="3" t="s">
        <v>43</v>
      </c>
      <c r="B37" s="4">
        <v>1503.9</v>
      </c>
      <c r="C37" s="4">
        <v>2010.61</v>
      </c>
      <c r="D37" s="4">
        <v>813.5</v>
      </c>
      <c r="E37" s="4">
        <v>6452.67</v>
      </c>
      <c r="F37" s="4">
        <v>40.85</v>
      </c>
      <c r="G37" s="4">
        <v>35.979999999999997</v>
      </c>
      <c r="H37" s="4">
        <v>15599.9</v>
      </c>
      <c r="I37" s="4">
        <v>800.28</v>
      </c>
      <c r="J37" s="4">
        <v>76.7</v>
      </c>
      <c r="K37" s="10">
        <f t="shared" si="0"/>
        <v>-0.15906127770534553</v>
      </c>
      <c r="L37" s="4">
        <v>140.520004</v>
      </c>
      <c r="M37" s="10">
        <f t="shared" si="1"/>
        <v>-3.3874244694726857E-2</v>
      </c>
      <c r="N37" s="11">
        <v>-0.14708689999999999</v>
      </c>
    </row>
    <row r="38" spans="1:14" x14ac:dyDescent="0.2">
      <c r="A38" s="3" t="s">
        <v>44</v>
      </c>
      <c r="B38" s="5">
        <v>1430.7</v>
      </c>
      <c r="C38" s="5">
        <v>1878.34</v>
      </c>
      <c r="D38" s="5">
        <v>742.96</v>
      </c>
      <c r="E38" s="5">
        <v>6390.91</v>
      </c>
      <c r="F38" s="5">
        <v>40.15</v>
      </c>
      <c r="G38" s="5">
        <v>36.99</v>
      </c>
      <c r="H38" s="5">
        <v>14698.2</v>
      </c>
      <c r="I38" s="5">
        <v>782.64</v>
      </c>
      <c r="J38" s="5">
        <v>64.5</v>
      </c>
      <c r="K38" s="10">
        <f t="shared" si="0"/>
        <v>0.10697674418604659</v>
      </c>
      <c r="L38" s="4">
        <v>135.759995</v>
      </c>
      <c r="M38" s="10">
        <f t="shared" si="1"/>
        <v>-4.5742429498468969E-2</v>
      </c>
      <c r="N38" s="11">
        <v>0.22326260000000001</v>
      </c>
    </row>
    <row r="39" spans="1:14" x14ac:dyDescent="0.2">
      <c r="A39" s="3" t="s">
        <v>45</v>
      </c>
      <c r="B39" s="4">
        <v>1430.8</v>
      </c>
      <c r="C39" s="4">
        <v>1876.13</v>
      </c>
      <c r="D39" s="4">
        <v>703.27</v>
      </c>
      <c r="E39" s="4">
        <v>6403.77</v>
      </c>
      <c r="F39" s="4">
        <v>40.299999999999997</v>
      </c>
      <c r="G39" s="4">
        <v>38</v>
      </c>
      <c r="H39" s="4">
        <v>14360.9</v>
      </c>
      <c r="I39" s="4">
        <v>776.03</v>
      </c>
      <c r="J39" s="4">
        <v>71.400000000000006</v>
      </c>
      <c r="K39" s="10">
        <f t="shared" si="0"/>
        <v>-6.3025210084033612E-2</v>
      </c>
      <c r="L39" s="4">
        <v>129.550003</v>
      </c>
      <c r="M39" s="10">
        <f t="shared" si="1"/>
        <v>1.327673454395826E-2</v>
      </c>
      <c r="N39" s="11">
        <v>0.31790659999999998</v>
      </c>
    </row>
    <row r="40" spans="1:14" x14ac:dyDescent="0.2">
      <c r="A40" s="3" t="s">
        <v>46</v>
      </c>
      <c r="B40" s="5">
        <v>1452.4</v>
      </c>
      <c r="C40" s="5">
        <v>1803.38</v>
      </c>
      <c r="D40" s="5">
        <v>690.05</v>
      </c>
      <c r="E40" s="5">
        <v>6370.75</v>
      </c>
      <c r="F40" s="5">
        <v>38.700000000000003</v>
      </c>
      <c r="G40" s="5">
        <v>38</v>
      </c>
      <c r="H40" s="5">
        <v>13679.7</v>
      </c>
      <c r="I40" s="5">
        <v>731.93</v>
      </c>
      <c r="J40" s="5">
        <v>66.900000000000006</v>
      </c>
      <c r="K40" s="10">
        <f t="shared" si="0"/>
        <v>-5.979073243647319E-3</v>
      </c>
      <c r="L40" s="4">
        <v>131.270004</v>
      </c>
      <c r="M40" s="10">
        <f t="shared" si="1"/>
        <v>3.6032572985980865E-2</v>
      </c>
      <c r="N40" s="11">
        <v>0.53604510000000005</v>
      </c>
    </row>
    <row r="41" spans="1:14" x14ac:dyDescent="0.2">
      <c r="A41" s="3" t="s">
        <v>47</v>
      </c>
      <c r="B41" s="4">
        <v>1443</v>
      </c>
      <c r="C41" s="4">
        <v>1816.61</v>
      </c>
      <c r="D41" s="4">
        <v>727.52</v>
      </c>
      <c r="E41" s="4">
        <v>6292.43</v>
      </c>
      <c r="F41" s="4">
        <v>38.35</v>
      </c>
      <c r="G41" s="4">
        <v>38</v>
      </c>
      <c r="H41" s="4">
        <v>13624.6</v>
      </c>
      <c r="I41" s="4">
        <v>756.18</v>
      </c>
      <c r="J41" s="4">
        <v>66.5</v>
      </c>
      <c r="K41" s="10">
        <f t="shared" si="0"/>
        <v>8.8721804511278285E-2</v>
      </c>
      <c r="L41" s="4">
        <v>136</v>
      </c>
      <c r="M41" s="10">
        <f t="shared" si="1"/>
        <v>-2.3455897058823477E-2</v>
      </c>
      <c r="N41" s="11">
        <v>0.6449897</v>
      </c>
    </row>
    <row r="42" spans="1:14" x14ac:dyDescent="0.2">
      <c r="A42" s="3" t="s">
        <v>48</v>
      </c>
      <c r="B42" s="5">
        <v>1369.2</v>
      </c>
      <c r="C42" s="5">
        <v>1823.22</v>
      </c>
      <c r="D42" s="5">
        <v>758.39</v>
      </c>
      <c r="E42" s="5">
        <v>6307.06</v>
      </c>
      <c r="F42" s="5">
        <v>37.19</v>
      </c>
      <c r="G42" s="5">
        <v>37.99</v>
      </c>
      <c r="H42" s="5">
        <v>13344.6</v>
      </c>
      <c r="I42" s="5">
        <v>824.53</v>
      </c>
      <c r="J42" s="5">
        <v>72.400000000000006</v>
      </c>
      <c r="K42" s="10">
        <f t="shared" si="0"/>
        <v>5.3867403314917003E-2</v>
      </c>
      <c r="L42" s="4">
        <v>132.80999800000001</v>
      </c>
      <c r="M42" s="10">
        <f t="shared" si="1"/>
        <v>-1.6565168534976847E-3</v>
      </c>
      <c r="N42" s="11">
        <v>0.60064229999999996</v>
      </c>
    </row>
    <row r="43" spans="1:14" x14ac:dyDescent="0.2">
      <c r="A43" s="3" t="s">
        <v>49</v>
      </c>
      <c r="B43" s="4">
        <v>1297</v>
      </c>
      <c r="C43" s="4">
        <v>1746.06</v>
      </c>
      <c r="D43" s="4">
        <v>694.46</v>
      </c>
      <c r="E43" s="4">
        <v>6352.16</v>
      </c>
      <c r="F43" s="4">
        <v>35.19</v>
      </c>
      <c r="G43" s="4">
        <v>36.020000000000003</v>
      </c>
      <c r="H43" s="4">
        <v>12683.2</v>
      </c>
      <c r="I43" s="4">
        <v>850.98</v>
      </c>
      <c r="J43" s="4">
        <v>76.3</v>
      </c>
      <c r="K43" s="10">
        <f t="shared" si="0"/>
        <v>-4.1939711664482349E-2</v>
      </c>
      <c r="L43" s="4">
        <v>132.58999600000001</v>
      </c>
      <c r="M43" s="10">
        <f t="shared" si="1"/>
        <v>-1.0407942089386767E-2</v>
      </c>
      <c r="N43" s="11">
        <v>0.5060595</v>
      </c>
    </row>
    <row r="44" spans="1:14" x14ac:dyDescent="0.2">
      <c r="A44" s="3" t="s">
        <v>50</v>
      </c>
      <c r="B44" s="5">
        <v>1232.4000000000001</v>
      </c>
      <c r="C44" s="5">
        <v>1699.76</v>
      </c>
      <c r="D44" s="5">
        <v>712.09</v>
      </c>
      <c r="E44" s="5">
        <v>6169.46</v>
      </c>
      <c r="F44" s="5">
        <v>33.25</v>
      </c>
      <c r="G44" s="5">
        <v>36</v>
      </c>
      <c r="H44" s="5">
        <v>12584</v>
      </c>
      <c r="I44" s="5">
        <v>839.96</v>
      </c>
      <c r="J44" s="5">
        <v>73.099999999999994</v>
      </c>
      <c r="K44" s="10">
        <f t="shared" si="0"/>
        <v>1.3679890560875515E-2</v>
      </c>
      <c r="L44" s="4">
        <v>131.21000699999999</v>
      </c>
      <c r="M44" s="10">
        <f t="shared" si="1"/>
        <v>-2.2102658679074515E-3</v>
      </c>
      <c r="N44" s="11">
        <v>0.68541260000000004</v>
      </c>
    </row>
    <row r="45" spans="1:14" x14ac:dyDescent="0.2">
      <c r="A45" s="3" t="s">
        <v>51</v>
      </c>
      <c r="B45" s="4">
        <v>1175.3</v>
      </c>
      <c r="C45" s="4">
        <v>1682.12</v>
      </c>
      <c r="D45" s="4">
        <v>782.64</v>
      </c>
      <c r="E45" s="4">
        <v>6150.34</v>
      </c>
      <c r="F45" s="4">
        <v>35.06</v>
      </c>
      <c r="G45" s="4">
        <v>35</v>
      </c>
      <c r="H45" s="4">
        <v>13419.5</v>
      </c>
      <c r="I45" s="4">
        <v>864.21</v>
      </c>
      <c r="J45" s="4">
        <v>74.099999999999994</v>
      </c>
      <c r="K45" s="10">
        <f t="shared" si="0"/>
        <v>4.1835357624831426E-2</v>
      </c>
      <c r="L45" s="4">
        <v>130.91999799999999</v>
      </c>
      <c r="M45" s="10">
        <f t="shared" si="1"/>
        <v>-6.2098969784585463E-2</v>
      </c>
      <c r="N45" s="11">
        <v>0.53151110000000001</v>
      </c>
    </row>
    <row r="46" spans="1:14" x14ac:dyDescent="0.2">
      <c r="A46" s="3" t="s">
        <v>52</v>
      </c>
      <c r="B46" s="5">
        <v>1230.8</v>
      </c>
      <c r="C46" s="5">
        <v>1787.95</v>
      </c>
      <c r="D46" s="5">
        <v>822.32</v>
      </c>
      <c r="E46" s="5">
        <v>5999.12</v>
      </c>
      <c r="F46" s="5">
        <v>35.799999999999997</v>
      </c>
      <c r="G46" s="5">
        <v>35</v>
      </c>
      <c r="H46" s="5">
        <v>14477.7</v>
      </c>
      <c r="I46" s="5">
        <v>954.6</v>
      </c>
      <c r="J46" s="5">
        <v>77.2</v>
      </c>
      <c r="K46" s="10">
        <f t="shared" si="0"/>
        <v>-5.3108808290155546E-2</v>
      </c>
      <c r="L46" s="4">
        <v>122.790001</v>
      </c>
      <c r="M46" s="10">
        <f t="shared" si="1"/>
        <v>-5.3831752961708966E-2</v>
      </c>
      <c r="N46" s="11">
        <v>0.7670458</v>
      </c>
    </row>
    <row r="47" spans="1:14" x14ac:dyDescent="0.2">
      <c r="A47" s="3" t="s">
        <v>53</v>
      </c>
      <c r="B47" s="4">
        <v>1168.9000000000001</v>
      </c>
      <c r="C47" s="4">
        <v>1706.38</v>
      </c>
      <c r="D47" s="4">
        <v>760.59</v>
      </c>
      <c r="E47" s="4">
        <v>5579.06</v>
      </c>
      <c r="F47" s="4">
        <v>35.909999999999997</v>
      </c>
      <c r="G47" s="4">
        <v>35</v>
      </c>
      <c r="H47" s="4">
        <v>14969.4</v>
      </c>
      <c r="I47" s="4">
        <v>936.96</v>
      </c>
      <c r="J47" s="4">
        <v>73.099999999999994</v>
      </c>
      <c r="K47" s="10">
        <f t="shared" si="0"/>
        <v>-3.8303693570451401E-2</v>
      </c>
      <c r="L47" s="4">
        <v>116.18</v>
      </c>
      <c r="M47" s="10">
        <f t="shared" si="1"/>
        <v>4.9147865381304834E-2</v>
      </c>
      <c r="N47" s="11">
        <v>0.94885149999999996</v>
      </c>
    </row>
    <row r="48" spans="1:14" x14ac:dyDescent="0.2">
      <c r="A48" s="3" t="s">
        <v>54</v>
      </c>
      <c r="B48" s="5">
        <v>1140.2</v>
      </c>
      <c r="C48" s="5">
        <v>1664.49</v>
      </c>
      <c r="D48" s="5">
        <v>716.5</v>
      </c>
      <c r="E48" s="5">
        <v>5216.71</v>
      </c>
      <c r="F48" s="5">
        <v>36.54</v>
      </c>
      <c r="G48" s="5">
        <v>35</v>
      </c>
      <c r="H48" s="5">
        <v>15101.7</v>
      </c>
      <c r="I48" s="5">
        <v>890.67</v>
      </c>
      <c r="J48" s="5">
        <v>70.3</v>
      </c>
      <c r="K48" s="10">
        <f t="shared" si="0"/>
        <v>-0.11095305832147934</v>
      </c>
      <c r="L48" s="4">
        <v>121.889999</v>
      </c>
      <c r="M48" s="10">
        <f t="shared" si="1"/>
        <v>3.6590360460992344E-2</v>
      </c>
      <c r="N48" s="11">
        <v>1.0149980000000001</v>
      </c>
    </row>
    <row r="49" spans="1:14" x14ac:dyDescent="0.2">
      <c r="A49" s="3" t="s">
        <v>55</v>
      </c>
      <c r="B49" s="4">
        <v>1081.8</v>
      </c>
      <c r="C49" s="4">
        <v>1651.26</v>
      </c>
      <c r="D49" s="4">
        <v>665.8</v>
      </c>
      <c r="E49" s="4">
        <v>5100.25</v>
      </c>
      <c r="F49" s="4">
        <v>37.119999999999997</v>
      </c>
      <c r="G49" s="4">
        <v>35</v>
      </c>
      <c r="H49" s="4">
        <v>15827</v>
      </c>
      <c r="I49" s="4">
        <v>875.23</v>
      </c>
      <c r="J49" s="4">
        <v>62.5</v>
      </c>
      <c r="K49" s="10">
        <f t="shared" si="0"/>
        <v>2.8799999999999954E-2</v>
      </c>
      <c r="L49" s="4">
        <v>126.349998</v>
      </c>
      <c r="M49" s="10">
        <f t="shared" si="1"/>
        <v>-3.0075148873369952E-2</v>
      </c>
      <c r="N49" s="11">
        <v>1.145</v>
      </c>
    </row>
    <row r="50" spans="1:14" x14ac:dyDescent="0.2">
      <c r="A50" s="3" t="s">
        <v>56</v>
      </c>
      <c r="B50" s="5">
        <v>1130.9000000000001</v>
      </c>
      <c r="C50" s="5">
        <v>1655.67</v>
      </c>
      <c r="D50" s="5">
        <v>676.82</v>
      </c>
      <c r="E50" s="5">
        <v>5496.03</v>
      </c>
      <c r="F50" s="5">
        <v>36.700000000000003</v>
      </c>
      <c r="G50" s="5">
        <v>35</v>
      </c>
      <c r="H50" s="5">
        <v>15954.8</v>
      </c>
      <c r="I50" s="5">
        <v>848.78</v>
      </c>
      <c r="J50" s="5">
        <v>64.3</v>
      </c>
      <c r="K50" s="10">
        <f t="shared" si="0"/>
        <v>0.10419906687402804</v>
      </c>
      <c r="L50" s="4">
        <v>122.550003</v>
      </c>
      <c r="M50" s="10">
        <f t="shared" si="1"/>
        <v>-1.7543867379587116E-2</v>
      </c>
      <c r="N50" s="11">
        <v>1.369076</v>
      </c>
    </row>
    <row r="51" spans="1:14" x14ac:dyDescent="0.2">
      <c r="A51" s="3" t="s">
        <v>57</v>
      </c>
      <c r="B51" s="4">
        <v>1113.3</v>
      </c>
      <c r="C51" s="4">
        <v>1613.78</v>
      </c>
      <c r="D51" s="4">
        <v>648.16</v>
      </c>
      <c r="E51" s="4">
        <v>5628.9</v>
      </c>
      <c r="F51" s="4">
        <v>35.85</v>
      </c>
      <c r="G51" s="4">
        <v>35.01</v>
      </c>
      <c r="H51" s="4">
        <v>16124.6</v>
      </c>
      <c r="I51" s="4">
        <v>820.12</v>
      </c>
      <c r="J51" s="4">
        <v>71</v>
      </c>
      <c r="K51" s="10">
        <f t="shared" si="0"/>
        <v>-6.3380281690140844E-2</v>
      </c>
      <c r="L51" s="4">
        <v>120.400002</v>
      </c>
      <c r="M51" s="10">
        <f t="shared" si="1"/>
        <v>-6.0548180057339231E-2</v>
      </c>
      <c r="N51" s="11">
        <v>1.2057</v>
      </c>
    </row>
    <row r="52" spans="1:14" x14ac:dyDescent="0.2">
      <c r="A52" s="3" t="s">
        <v>58</v>
      </c>
      <c r="B52" s="5">
        <v>1087.7</v>
      </c>
      <c r="C52" s="5">
        <v>1596.14</v>
      </c>
      <c r="D52" s="5">
        <v>615.09</v>
      </c>
      <c r="E52" s="5">
        <v>5716.76</v>
      </c>
      <c r="F52" s="5">
        <v>31.62</v>
      </c>
      <c r="G52" s="5">
        <v>34.03</v>
      </c>
      <c r="H52" s="5">
        <v>15930.6</v>
      </c>
      <c r="I52" s="5">
        <v>824.53</v>
      </c>
      <c r="J52" s="5">
        <v>66.5</v>
      </c>
      <c r="K52" s="10">
        <f t="shared" si="0"/>
        <v>-6.7669172932330823E-2</v>
      </c>
      <c r="L52" s="4">
        <v>113.110001</v>
      </c>
      <c r="M52" s="10">
        <f t="shared" si="1"/>
        <v>-1.0167111571327814E-2</v>
      </c>
      <c r="N52" s="11">
        <v>1.314854</v>
      </c>
    </row>
    <row r="53" spans="1:14" x14ac:dyDescent="0.2">
      <c r="A53" s="3" t="s">
        <v>59</v>
      </c>
      <c r="B53" s="4">
        <v>1029.2</v>
      </c>
      <c r="C53" s="4">
        <v>1512.37</v>
      </c>
      <c r="D53" s="4">
        <v>610.67999999999995</v>
      </c>
      <c r="E53" s="4">
        <v>5653.36</v>
      </c>
      <c r="F53" s="4">
        <v>29.3</v>
      </c>
      <c r="G53" s="4">
        <v>33.01</v>
      </c>
      <c r="H53" s="4">
        <v>12813.3</v>
      </c>
      <c r="I53" s="4">
        <v>791.46</v>
      </c>
      <c r="J53" s="4">
        <v>62</v>
      </c>
      <c r="K53" s="10">
        <f t="shared" si="0"/>
        <v>5.6451612903225805E-2</v>
      </c>
      <c r="L53" s="4">
        <v>111.959999</v>
      </c>
      <c r="M53" s="10">
        <f t="shared" si="1"/>
        <v>4.0014317970831804E-2</v>
      </c>
      <c r="N53" s="11">
        <v>1.448059</v>
      </c>
    </row>
    <row r="54" spans="1:14" x14ac:dyDescent="0.2">
      <c r="A54" s="3" t="s">
        <v>60</v>
      </c>
      <c r="B54" s="5">
        <v>996.2</v>
      </c>
      <c r="C54" s="5">
        <v>1521.19</v>
      </c>
      <c r="D54" s="5">
        <v>575.41</v>
      </c>
      <c r="E54" s="5">
        <v>5394.05</v>
      </c>
      <c r="F54" s="5">
        <v>33.119999999999997</v>
      </c>
      <c r="G54" s="5">
        <v>31.99</v>
      </c>
      <c r="H54" s="5">
        <v>12628.1</v>
      </c>
      <c r="I54" s="5">
        <v>740.75</v>
      </c>
      <c r="J54" s="5">
        <v>65.5</v>
      </c>
      <c r="K54" s="10">
        <f t="shared" si="0"/>
        <v>3.0534351145038167E-2</v>
      </c>
      <c r="L54" s="4">
        <v>116.44000200000001</v>
      </c>
      <c r="M54" s="10">
        <f t="shared" si="1"/>
        <v>-3.9161842336622454E-2</v>
      </c>
      <c r="N54" s="11">
        <v>1.3253550000000001</v>
      </c>
    </row>
    <row r="55" spans="1:14" x14ac:dyDescent="0.2">
      <c r="A55" s="3" t="s">
        <v>61</v>
      </c>
      <c r="B55" s="4">
        <v>973.3</v>
      </c>
      <c r="C55" s="4">
        <v>1530.01</v>
      </c>
      <c r="D55" s="4">
        <v>575.41</v>
      </c>
      <c r="E55" s="4">
        <v>5211.84</v>
      </c>
      <c r="F55" s="4">
        <v>35.18</v>
      </c>
      <c r="G55" s="4">
        <v>32</v>
      </c>
      <c r="H55" s="4">
        <v>12736.1</v>
      </c>
      <c r="I55" s="4">
        <v>749.57</v>
      </c>
      <c r="J55" s="4">
        <v>67.5</v>
      </c>
      <c r="K55" s="10">
        <f t="shared" si="0"/>
        <v>-2.6666666666666623E-2</v>
      </c>
      <c r="L55" s="4">
        <v>111.879997</v>
      </c>
      <c r="M55" s="10">
        <f t="shared" si="1"/>
        <v>-2.0289560787170972E-2</v>
      </c>
      <c r="N55" s="11">
        <v>1.3879589999999999</v>
      </c>
    </row>
    <row r="56" spans="1:14" x14ac:dyDescent="0.2">
      <c r="A56" s="3" t="s">
        <v>62</v>
      </c>
      <c r="B56" s="5">
        <v>918.8</v>
      </c>
      <c r="C56" s="5">
        <v>1309.54</v>
      </c>
      <c r="D56" s="5">
        <v>522.49</v>
      </c>
      <c r="E56" s="5">
        <v>5186.7</v>
      </c>
      <c r="F56" s="5">
        <v>34.6</v>
      </c>
      <c r="G56" s="5">
        <v>32</v>
      </c>
      <c r="H56" s="5">
        <v>11098.1</v>
      </c>
      <c r="I56" s="5">
        <v>692.25</v>
      </c>
      <c r="J56" s="5">
        <v>65.7</v>
      </c>
      <c r="K56" s="10">
        <f t="shared" si="0"/>
        <v>-4.5662100456620568E-3</v>
      </c>
      <c r="L56" s="4">
        <v>109.610001</v>
      </c>
      <c r="M56" s="10">
        <f t="shared" si="1"/>
        <v>-2.2990648453693543E-2</v>
      </c>
      <c r="N56" s="11">
        <v>1.2932840000000001</v>
      </c>
    </row>
    <row r="57" spans="1:14" x14ac:dyDescent="0.2">
      <c r="A57" s="3" t="s">
        <v>63</v>
      </c>
      <c r="B57" s="4">
        <v>957.8</v>
      </c>
      <c r="C57" s="4">
        <v>1439.62</v>
      </c>
      <c r="D57" s="4">
        <v>553.36</v>
      </c>
      <c r="E57" s="4">
        <v>5068.58</v>
      </c>
      <c r="F57" s="4">
        <v>33.700000000000003</v>
      </c>
      <c r="G57" s="4">
        <v>32</v>
      </c>
      <c r="H57" s="4">
        <v>11316.3</v>
      </c>
      <c r="I57" s="4">
        <v>723.12</v>
      </c>
      <c r="J57" s="4">
        <v>65.400000000000006</v>
      </c>
      <c r="K57" s="10">
        <f t="shared" si="0"/>
        <v>0</v>
      </c>
      <c r="L57" s="4">
        <v>107.089996</v>
      </c>
      <c r="M57" s="10">
        <f t="shared" si="1"/>
        <v>0.11597727578587266</v>
      </c>
      <c r="N57" s="11">
        <v>1.131194</v>
      </c>
    </row>
    <row r="58" spans="1:14" x14ac:dyDescent="0.2">
      <c r="A58" s="3" t="s">
        <v>64</v>
      </c>
      <c r="B58" s="5">
        <v>958.9</v>
      </c>
      <c r="C58" s="5">
        <v>1450.64</v>
      </c>
      <c r="D58" s="5">
        <v>522.49</v>
      </c>
      <c r="E58" s="5">
        <v>4953.03</v>
      </c>
      <c r="F58" s="5">
        <v>32.85</v>
      </c>
      <c r="G58" s="5">
        <v>32</v>
      </c>
      <c r="H58" s="5">
        <v>12187.1</v>
      </c>
      <c r="I58" s="5">
        <v>714.3</v>
      </c>
      <c r="J58" s="5">
        <v>65.400000000000006</v>
      </c>
      <c r="K58" s="10">
        <f t="shared" si="0"/>
        <v>5.9633027522935644E-2</v>
      </c>
      <c r="L58" s="4">
        <v>119.510002</v>
      </c>
      <c r="M58" s="10">
        <f t="shared" si="1"/>
        <v>7.6143919736526046E-3</v>
      </c>
      <c r="N58" s="11">
        <v>0.91853399999999996</v>
      </c>
    </row>
    <row r="59" spans="1:14" x14ac:dyDescent="0.2">
      <c r="A59" s="3" t="s">
        <v>65</v>
      </c>
      <c r="B59" s="4">
        <v>959.5</v>
      </c>
      <c r="C59" s="4">
        <v>1424.18</v>
      </c>
      <c r="D59" s="4">
        <v>515.88</v>
      </c>
      <c r="E59" s="4">
        <v>4310.3</v>
      </c>
      <c r="F59" s="4">
        <v>34.25</v>
      </c>
      <c r="G59" s="4">
        <v>32</v>
      </c>
      <c r="H59" s="4">
        <v>12678.8</v>
      </c>
      <c r="I59" s="4">
        <v>749.57</v>
      </c>
      <c r="J59" s="4">
        <v>69.3</v>
      </c>
      <c r="K59" s="10">
        <f t="shared" si="0"/>
        <v>5.9163059163059285E-2</v>
      </c>
      <c r="L59" s="4">
        <v>120.41999800000001</v>
      </c>
      <c r="M59" s="10">
        <f t="shared" si="1"/>
        <v>0.11044679638675953</v>
      </c>
      <c r="N59" s="11">
        <v>0.79016830000000005</v>
      </c>
    </row>
    <row r="60" spans="1:14" x14ac:dyDescent="0.2">
      <c r="A60" s="3" t="s">
        <v>66</v>
      </c>
      <c r="B60" s="5">
        <v>951.5</v>
      </c>
      <c r="C60" s="5">
        <v>1463.87</v>
      </c>
      <c r="D60" s="5">
        <v>498.24</v>
      </c>
      <c r="E60" s="5">
        <v>3916.51</v>
      </c>
      <c r="F60" s="5">
        <v>35</v>
      </c>
      <c r="G60" s="5">
        <v>33</v>
      </c>
      <c r="H60" s="5">
        <v>12420.8</v>
      </c>
      <c r="I60" s="5">
        <v>751.78</v>
      </c>
      <c r="J60" s="5">
        <v>73.400000000000006</v>
      </c>
      <c r="K60" s="10">
        <f t="shared" si="0"/>
        <v>-1.7711171662125495E-2</v>
      </c>
      <c r="L60" s="4">
        <v>133.720001</v>
      </c>
      <c r="M60" s="10">
        <f t="shared" si="1"/>
        <v>3.5970669787835308E-2</v>
      </c>
      <c r="N60" s="11">
        <v>0.72736809999999996</v>
      </c>
    </row>
    <row r="61" spans="1:14" x14ac:dyDescent="0.2">
      <c r="A61" s="3" t="s">
        <v>67</v>
      </c>
      <c r="B61" s="4">
        <v>965.1</v>
      </c>
      <c r="C61" s="4">
        <v>1444.03</v>
      </c>
      <c r="D61" s="4">
        <v>462.97</v>
      </c>
      <c r="E61" s="4">
        <v>3433.66</v>
      </c>
      <c r="F61" s="4">
        <v>33.799999999999997</v>
      </c>
      <c r="G61" s="4">
        <v>33</v>
      </c>
      <c r="H61" s="4">
        <v>11982.1</v>
      </c>
      <c r="I61" s="4">
        <v>709.89</v>
      </c>
      <c r="J61" s="4">
        <v>72.099999999999994</v>
      </c>
      <c r="K61" s="10">
        <f t="shared" si="0"/>
        <v>-2.773925104022034E-3</v>
      </c>
      <c r="L61" s="4">
        <v>138.529999</v>
      </c>
      <c r="M61" s="10">
        <f t="shared" si="1"/>
        <v>1.5231357938578959E-2</v>
      </c>
      <c r="N61" s="11">
        <v>0.77677399999999996</v>
      </c>
    </row>
    <row r="62" spans="1:14" x14ac:dyDescent="0.2">
      <c r="A62" s="3" t="s">
        <v>68</v>
      </c>
      <c r="B62" s="5">
        <v>987.4</v>
      </c>
      <c r="C62" s="5">
        <v>1474.89</v>
      </c>
      <c r="D62" s="5">
        <v>449.74</v>
      </c>
      <c r="E62" s="5">
        <v>3576.27</v>
      </c>
      <c r="F62" s="5">
        <v>31.75</v>
      </c>
      <c r="G62" s="5">
        <v>32</v>
      </c>
      <c r="H62" s="5">
        <v>12041.6</v>
      </c>
      <c r="I62" s="5">
        <v>670.2</v>
      </c>
      <c r="J62" s="5">
        <v>71.900000000000006</v>
      </c>
      <c r="K62" s="10">
        <f t="shared" si="0"/>
        <v>-2.0862308762169678E-2</v>
      </c>
      <c r="L62" s="4">
        <v>140.63999899999999</v>
      </c>
      <c r="M62" s="10">
        <f t="shared" si="1"/>
        <v>3.3134272135482701E-2</v>
      </c>
      <c r="N62" s="11">
        <v>0.80214799999999997</v>
      </c>
    </row>
    <row r="63" spans="1:14" x14ac:dyDescent="0.2">
      <c r="A63" s="3" t="s">
        <v>69</v>
      </c>
      <c r="B63" s="4">
        <v>1076.5</v>
      </c>
      <c r="C63" s="4">
        <v>1574.1</v>
      </c>
      <c r="D63" s="4">
        <v>476.2</v>
      </c>
      <c r="E63" s="4">
        <v>3796.96</v>
      </c>
      <c r="F63" s="4">
        <v>30.85</v>
      </c>
      <c r="G63" s="4">
        <v>32</v>
      </c>
      <c r="H63" s="4">
        <v>12079.1</v>
      </c>
      <c r="I63" s="4">
        <v>698.86</v>
      </c>
      <c r="J63" s="4">
        <v>70.400000000000006</v>
      </c>
      <c r="K63" s="10">
        <f t="shared" si="0"/>
        <v>5.9659090909090745E-2</v>
      </c>
      <c r="L63" s="4">
        <v>145.300003</v>
      </c>
      <c r="M63" s="10">
        <f t="shared" si="1"/>
        <v>1.8995147577526225E-2</v>
      </c>
      <c r="N63" s="11">
        <v>0.63459659999999996</v>
      </c>
    </row>
    <row r="64" spans="1:14" x14ac:dyDescent="0.2">
      <c r="A64" s="3" t="s">
        <v>70</v>
      </c>
      <c r="B64" s="5">
        <v>1230.5</v>
      </c>
      <c r="C64" s="5">
        <v>1649.06</v>
      </c>
      <c r="D64" s="5">
        <v>456.36</v>
      </c>
      <c r="E64" s="5">
        <v>4228.2</v>
      </c>
      <c r="F64" s="5">
        <v>29.1</v>
      </c>
      <c r="G64" s="5">
        <v>30.02</v>
      </c>
      <c r="H64" s="5">
        <v>13040.3</v>
      </c>
      <c r="I64" s="5">
        <v>681.23</v>
      </c>
      <c r="J64" s="5">
        <v>74.599999999999994</v>
      </c>
      <c r="K64" s="10">
        <f t="shared" si="0"/>
        <v>8.3109919571045618E-2</v>
      </c>
      <c r="L64" s="4">
        <v>148.05999800000001</v>
      </c>
      <c r="M64" s="10">
        <f t="shared" si="1"/>
        <v>3.3094752574560904E-2</v>
      </c>
      <c r="N64" s="11">
        <v>0.5045615</v>
      </c>
    </row>
    <row r="65" spans="1:17" x14ac:dyDescent="0.2">
      <c r="A65" s="3" t="s">
        <v>71</v>
      </c>
      <c r="B65" s="4">
        <v>1301.7</v>
      </c>
      <c r="C65" s="4">
        <v>1598.35</v>
      </c>
      <c r="D65" s="4">
        <v>445.33</v>
      </c>
      <c r="E65" s="4">
        <v>4831.7700000000004</v>
      </c>
      <c r="F65" s="4">
        <v>28.2</v>
      </c>
      <c r="G65" s="4">
        <v>29.17</v>
      </c>
      <c r="H65" s="4">
        <v>13459.2</v>
      </c>
      <c r="I65" s="4">
        <v>679.02</v>
      </c>
      <c r="J65" s="4">
        <v>80.8</v>
      </c>
      <c r="K65" s="10">
        <f t="shared" si="0"/>
        <v>0.10272277227722769</v>
      </c>
      <c r="L65" s="4">
        <v>152.96000699999999</v>
      </c>
      <c r="M65" s="10">
        <f t="shared" si="1"/>
        <v>7.4986829727328702E-2</v>
      </c>
      <c r="N65" s="11">
        <v>0.33071620000000002</v>
      </c>
    </row>
    <row r="66" spans="1:17" x14ac:dyDescent="0.2">
      <c r="A66" s="3" t="s">
        <v>72</v>
      </c>
      <c r="B66" s="5">
        <v>1363.6</v>
      </c>
      <c r="C66" s="5">
        <v>1675.51</v>
      </c>
      <c r="D66" s="5">
        <v>456.36</v>
      </c>
      <c r="E66" s="5">
        <v>4817.79</v>
      </c>
      <c r="F66" s="5">
        <v>29.75</v>
      </c>
      <c r="G66" s="5">
        <v>30.51</v>
      </c>
      <c r="H66" s="5">
        <v>13787.7</v>
      </c>
      <c r="I66" s="5">
        <v>696.66</v>
      </c>
      <c r="J66" s="5">
        <v>89.1</v>
      </c>
      <c r="K66" s="10">
        <f t="shared" si="0"/>
        <v>4.7138047138047173E-2</v>
      </c>
      <c r="L66" s="4">
        <v>164.429993</v>
      </c>
      <c r="M66" s="10">
        <f t="shared" si="1"/>
        <v>-1.2406459203583419E-2</v>
      </c>
      <c r="N66" s="11">
        <v>0.42676890000000001</v>
      </c>
    </row>
    <row r="67" spans="1:17" x14ac:dyDescent="0.2">
      <c r="A67" s="3" t="s">
        <v>73</v>
      </c>
      <c r="B67" s="4">
        <v>1453.4</v>
      </c>
      <c r="C67" s="4">
        <v>1765.9</v>
      </c>
      <c r="D67" s="4">
        <v>432.11</v>
      </c>
      <c r="E67" s="4">
        <v>5031.53</v>
      </c>
      <c r="F67" s="4">
        <v>29.6</v>
      </c>
      <c r="G67" s="4">
        <v>30.19</v>
      </c>
      <c r="H67" s="4">
        <v>13523.1</v>
      </c>
      <c r="I67" s="4">
        <v>736.34</v>
      </c>
      <c r="J67" s="4">
        <v>93.3</v>
      </c>
      <c r="K67" s="10">
        <f t="shared" si="0"/>
        <v>-1.1789924973204656E-2</v>
      </c>
      <c r="L67" s="4">
        <v>162.38999899999999</v>
      </c>
      <c r="M67" s="10">
        <f t="shared" si="1"/>
        <v>3.2329577143479137E-2</v>
      </c>
      <c r="N67" s="11">
        <v>0.36439169999999999</v>
      </c>
    </row>
    <row r="68" spans="1:17" x14ac:dyDescent="0.2">
      <c r="A68" s="3" t="s">
        <v>74</v>
      </c>
      <c r="B68" s="5">
        <v>1465.6</v>
      </c>
      <c r="C68" s="5">
        <v>1701.97</v>
      </c>
      <c r="D68" s="5">
        <v>407.85</v>
      </c>
      <c r="E68" s="5">
        <v>4883.16</v>
      </c>
      <c r="F68" s="5">
        <v>30.17</v>
      </c>
      <c r="G68" s="5">
        <v>31.03</v>
      </c>
      <c r="H68" s="5">
        <v>13351.2</v>
      </c>
      <c r="I68" s="5">
        <v>718.71</v>
      </c>
      <c r="J68" s="5">
        <v>92.2</v>
      </c>
      <c r="K68" s="10">
        <f t="shared" ref="K68:K131" si="2" xml:space="preserve"> (J69-J68)/J68</f>
        <v>6.5075921908893091E-3</v>
      </c>
      <c r="L68" s="4">
        <v>167.63999899999999</v>
      </c>
      <c r="M68" s="10">
        <f t="shared" ref="M68:M131" si="3" xml:space="preserve"> (L69-L68)/L68</f>
        <v>-3.0303036448956207E-2</v>
      </c>
      <c r="N68" s="11">
        <v>0.44935900000000001</v>
      </c>
    </row>
    <row r="69" spans="1:17" x14ac:dyDescent="0.2">
      <c r="A69" s="3" t="s">
        <v>75</v>
      </c>
      <c r="B69" s="4">
        <v>1520.2</v>
      </c>
      <c r="C69" s="4">
        <v>1704.17</v>
      </c>
      <c r="D69" s="4">
        <v>403.45</v>
      </c>
      <c r="E69" s="4">
        <v>4804.04</v>
      </c>
      <c r="F69" s="4">
        <v>30.79</v>
      </c>
      <c r="G69" s="4">
        <v>31.64</v>
      </c>
      <c r="H69" s="4">
        <v>13190.2</v>
      </c>
      <c r="I69" s="4">
        <v>740.75</v>
      </c>
      <c r="J69" s="4">
        <v>92.8</v>
      </c>
      <c r="K69" s="10">
        <f t="shared" si="2"/>
        <v>-2.0474137931034392E-2</v>
      </c>
      <c r="L69" s="4">
        <v>162.55999800000001</v>
      </c>
      <c r="M69" s="10">
        <f t="shared" si="3"/>
        <v>1.131887317075376E-2</v>
      </c>
      <c r="N69" s="11">
        <v>0.62371270000000001</v>
      </c>
    </row>
    <row r="70" spans="1:17" x14ac:dyDescent="0.2">
      <c r="A70" s="3" t="s">
        <v>76</v>
      </c>
      <c r="B70" s="5">
        <v>1603.7</v>
      </c>
      <c r="C70" s="5">
        <v>1640.24</v>
      </c>
      <c r="D70" s="5">
        <v>396.83</v>
      </c>
      <c r="E70" s="5">
        <v>4852.76</v>
      </c>
      <c r="F70" s="5">
        <v>31.15</v>
      </c>
      <c r="G70" s="5">
        <v>31.9</v>
      </c>
      <c r="H70" s="5">
        <v>12811</v>
      </c>
      <c r="I70" s="5">
        <v>809.1</v>
      </c>
      <c r="J70" s="5">
        <v>90.9</v>
      </c>
      <c r="K70" s="10">
        <f t="shared" si="2"/>
        <v>-1.1001100110011E-2</v>
      </c>
      <c r="L70" s="4">
        <v>164.39999399999999</v>
      </c>
      <c r="M70" s="10">
        <f t="shared" si="3"/>
        <v>1.0158230297745702E-2</v>
      </c>
      <c r="N70" s="11">
        <v>0.63851239999999998</v>
      </c>
    </row>
    <row r="71" spans="1:17" x14ac:dyDescent="0.2">
      <c r="A71" s="3" t="s">
        <v>77</v>
      </c>
      <c r="B71" s="4">
        <v>1613.7</v>
      </c>
      <c r="C71" s="4">
        <v>1560.87</v>
      </c>
      <c r="D71" s="4">
        <v>403.45</v>
      </c>
      <c r="E71" s="4">
        <v>4910.5200000000004</v>
      </c>
      <c r="F71" s="4">
        <v>30.36</v>
      </c>
      <c r="G71" s="4">
        <v>31.24</v>
      </c>
      <c r="H71" s="4">
        <v>12751.5</v>
      </c>
      <c r="I71" s="4">
        <v>837.76</v>
      </c>
      <c r="J71" s="4">
        <v>89.9</v>
      </c>
      <c r="K71" s="10">
        <f t="shared" si="2"/>
        <v>-6.6740823136819628E-3</v>
      </c>
      <c r="L71" s="4">
        <v>166.070007</v>
      </c>
      <c r="M71" s="10">
        <f t="shared" si="3"/>
        <v>-1.5174347526823432E-2</v>
      </c>
      <c r="N71" s="11">
        <v>0.76897570000000004</v>
      </c>
    </row>
    <row r="72" spans="1:17" x14ac:dyDescent="0.2">
      <c r="A72" s="3" t="s">
        <v>78</v>
      </c>
      <c r="B72" s="5">
        <v>1566.3</v>
      </c>
      <c r="C72" s="5">
        <v>1435.21</v>
      </c>
      <c r="D72" s="5">
        <v>418.88</v>
      </c>
      <c r="E72" s="5">
        <v>4674.1499999999996</v>
      </c>
      <c r="F72" s="5">
        <v>29.62</v>
      </c>
      <c r="G72" s="5">
        <v>30.41</v>
      </c>
      <c r="H72" s="5">
        <v>12747.1</v>
      </c>
      <c r="I72" s="5">
        <v>857.6</v>
      </c>
      <c r="J72" s="5">
        <v>89.3</v>
      </c>
      <c r="K72" s="10">
        <f t="shared" si="2"/>
        <v>2.0156774916013406E-2</v>
      </c>
      <c r="L72" s="4">
        <v>163.550003</v>
      </c>
      <c r="M72" s="10">
        <f t="shared" si="3"/>
        <v>1.7425808301574832E-2</v>
      </c>
      <c r="N72" s="11">
        <v>1.3076430000000001</v>
      </c>
    </row>
    <row r="73" spans="1:17" x14ac:dyDescent="0.2">
      <c r="A73" s="3" t="s">
        <v>79</v>
      </c>
      <c r="B73" s="4">
        <v>1516.7</v>
      </c>
      <c r="C73" s="4">
        <v>1388.91</v>
      </c>
      <c r="D73" s="4">
        <v>405.65</v>
      </c>
      <c r="E73" s="4">
        <v>4585.17</v>
      </c>
      <c r="F73" s="4">
        <v>28.95</v>
      </c>
      <c r="G73" s="4">
        <v>29.99</v>
      </c>
      <c r="H73" s="4">
        <v>12769.2</v>
      </c>
      <c r="I73" s="4">
        <v>859.8</v>
      </c>
      <c r="J73" s="4">
        <v>91.1</v>
      </c>
      <c r="K73" s="10">
        <f t="shared" si="2"/>
        <v>3.4028540065861784E-2</v>
      </c>
      <c r="L73" s="4">
        <v>166.39999399999999</v>
      </c>
      <c r="M73" s="10">
        <f t="shared" si="3"/>
        <v>-8.8341409435387149E-3</v>
      </c>
      <c r="N73" s="11">
        <v>1.5791489999999999</v>
      </c>
    </row>
    <row r="74" spans="1:17" x14ac:dyDescent="0.2">
      <c r="A74" s="3" t="s">
        <v>80</v>
      </c>
      <c r="B74" s="5">
        <v>1549.3</v>
      </c>
      <c r="C74" s="5">
        <v>1415.37</v>
      </c>
      <c r="D74" s="5">
        <v>401.24</v>
      </c>
      <c r="E74" s="5">
        <v>4657</v>
      </c>
      <c r="F74" s="5">
        <v>28.85</v>
      </c>
      <c r="G74" s="5">
        <v>29.15</v>
      </c>
      <c r="H74" s="5">
        <v>12341.5</v>
      </c>
      <c r="I74" s="5">
        <v>857.6</v>
      </c>
      <c r="J74" s="5">
        <v>94.2</v>
      </c>
      <c r="K74" s="10">
        <f t="shared" si="2"/>
        <v>6.2632696390658077E-2</v>
      </c>
      <c r="L74" s="4">
        <v>164.929993</v>
      </c>
      <c r="M74" s="10">
        <f t="shared" si="3"/>
        <v>-9.2159647396578108E-3</v>
      </c>
      <c r="N74" s="11">
        <v>1.7744409999999999</v>
      </c>
    </row>
    <row r="75" spans="1:17" x14ac:dyDescent="0.2">
      <c r="A75" s="3" t="s">
        <v>81</v>
      </c>
      <c r="B75" s="4">
        <v>1548.9</v>
      </c>
      <c r="C75" s="4">
        <v>1375.68</v>
      </c>
      <c r="D75" s="4">
        <v>396.83</v>
      </c>
      <c r="E75" s="4">
        <v>4670.4799999999996</v>
      </c>
      <c r="F75" s="4">
        <v>29.51</v>
      </c>
      <c r="G75" s="4">
        <v>29.7</v>
      </c>
      <c r="H75" s="4">
        <v>12112.2</v>
      </c>
      <c r="I75" s="4">
        <v>956.81</v>
      </c>
      <c r="J75" s="4">
        <v>100.1</v>
      </c>
      <c r="K75" s="10">
        <f t="shared" si="2"/>
        <v>-2.6973026973026861E-2</v>
      </c>
      <c r="L75" s="4">
        <v>163.41000399999999</v>
      </c>
      <c r="M75" s="10">
        <f t="shared" si="3"/>
        <v>-3.8859346701931294E-2</v>
      </c>
      <c r="N75" s="11">
        <v>2.1735679999999999</v>
      </c>
      <c r="P75" s="14" t="s">
        <v>468</v>
      </c>
      <c r="Q75" s="13">
        <f xml:space="preserve"> AVERAGE(N75:N452)</f>
        <v>0.22314604629629639</v>
      </c>
    </row>
    <row r="76" spans="1:17" x14ac:dyDescent="0.2">
      <c r="A76" s="3" t="s">
        <v>82</v>
      </c>
      <c r="B76" s="5">
        <v>1491.2</v>
      </c>
      <c r="C76" s="5">
        <v>1428.59</v>
      </c>
      <c r="D76" s="5">
        <v>403.45</v>
      </c>
      <c r="E76" s="5">
        <v>4639.91</v>
      </c>
      <c r="F76" s="5">
        <v>29.73</v>
      </c>
      <c r="G76" s="5">
        <v>30.14</v>
      </c>
      <c r="H76" s="5">
        <v>12293</v>
      </c>
      <c r="I76" s="5">
        <v>998.69</v>
      </c>
      <c r="J76" s="5">
        <v>97.4</v>
      </c>
      <c r="K76" s="10">
        <f t="shared" si="2"/>
        <v>3.6960985626283305E-2</v>
      </c>
      <c r="L76" s="4">
        <v>157.05999800000001</v>
      </c>
      <c r="M76" s="10">
        <f t="shared" si="3"/>
        <v>1.3497994568928931E-2</v>
      </c>
      <c r="N76" s="11">
        <v>2.3057799999999999</v>
      </c>
      <c r="P76" s="14" t="s">
        <v>472</v>
      </c>
      <c r="Q76">
        <f xml:space="preserve"> _xlfn.STDEV.P(N75:N452)</f>
        <v>0.68470896231386436</v>
      </c>
    </row>
    <row r="77" spans="1:17" x14ac:dyDescent="0.2">
      <c r="A77" s="3" t="s">
        <v>83</v>
      </c>
      <c r="B77" s="4">
        <v>1455.8</v>
      </c>
      <c r="C77" s="4">
        <v>1501.35</v>
      </c>
      <c r="D77" s="4">
        <v>458.56</v>
      </c>
      <c r="E77" s="4">
        <v>4780.83</v>
      </c>
      <c r="F77" s="4">
        <v>30.03</v>
      </c>
      <c r="G77" s="4">
        <v>30.78</v>
      </c>
      <c r="H77" s="4">
        <v>12403.2</v>
      </c>
      <c r="I77" s="4">
        <v>1040.58</v>
      </c>
      <c r="J77" s="4">
        <v>101</v>
      </c>
      <c r="K77" s="10">
        <f t="shared" si="2"/>
        <v>-4.8514851485148572E-2</v>
      </c>
      <c r="L77" s="4">
        <v>159.179993</v>
      </c>
      <c r="M77" s="10">
        <f t="shared" si="3"/>
        <v>5.4655738048688552E-3</v>
      </c>
      <c r="N77" s="11">
        <v>2.2490749999999999</v>
      </c>
      <c r="P77" s="14" t="s">
        <v>471</v>
      </c>
      <c r="Q77">
        <f xml:space="preserve"> Q75+2*Q76</f>
        <v>1.5925639709240251</v>
      </c>
    </row>
    <row r="78" spans="1:17" x14ac:dyDescent="0.2">
      <c r="A78" s="3" t="s">
        <v>84</v>
      </c>
      <c r="B78" s="5">
        <v>1370.4</v>
      </c>
      <c r="C78" s="5">
        <v>1532.21</v>
      </c>
      <c r="D78" s="5">
        <v>480.61</v>
      </c>
      <c r="E78" s="5">
        <v>4911.41</v>
      </c>
      <c r="F78" s="5">
        <v>30.01</v>
      </c>
      <c r="G78" s="5">
        <v>30.61</v>
      </c>
      <c r="H78" s="5">
        <v>12440.7</v>
      </c>
      <c r="I78" s="5">
        <v>1003.1</v>
      </c>
      <c r="J78" s="5">
        <v>96.1</v>
      </c>
      <c r="K78" s="10">
        <f t="shared" si="2"/>
        <v>2.081165452653486E-2</v>
      </c>
      <c r="L78" s="4">
        <v>160.050003</v>
      </c>
      <c r="M78" s="10">
        <f t="shared" si="3"/>
        <v>-5.935644999644267E-2</v>
      </c>
      <c r="N78" s="11">
        <v>1.9677720000000001</v>
      </c>
      <c r="P78" s="14" t="s">
        <v>470</v>
      </c>
      <c r="Q78">
        <f xml:space="preserve"> Q75-2*Q76</f>
        <v>-1.1462718783314323</v>
      </c>
    </row>
    <row r="79" spans="1:17" x14ac:dyDescent="0.2">
      <c r="A79" s="3" t="s">
        <v>85</v>
      </c>
      <c r="B79" s="4">
        <v>1289.0999999999999</v>
      </c>
      <c r="C79" s="4">
        <v>1419.78</v>
      </c>
      <c r="D79" s="4">
        <v>451.95</v>
      </c>
      <c r="E79" s="4">
        <v>4811.42</v>
      </c>
      <c r="F79" s="4">
        <v>29.7</v>
      </c>
      <c r="G79" s="4">
        <v>30.55</v>
      </c>
      <c r="H79" s="4">
        <v>12577.4</v>
      </c>
      <c r="I79" s="4">
        <v>1000.9</v>
      </c>
      <c r="J79" s="4">
        <v>98.1</v>
      </c>
      <c r="K79" s="10">
        <f t="shared" si="2"/>
        <v>-2.6503567787971402E-2</v>
      </c>
      <c r="L79" s="4">
        <v>150.550003</v>
      </c>
      <c r="M79" s="10">
        <f t="shared" si="3"/>
        <v>1.7469212537976449E-2</v>
      </c>
      <c r="N79" s="11">
        <v>2.2317279999999999</v>
      </c>
    </row>
    <row r="80" spans="1:17" x14ac:dyDescent="0.2">
      <c r="A80" s="3" t="s">
        <v>86</v>
      </c>
      <c r="B80" s="5">
        <v>1275</v>
      </c>
      <c r="C80" s="5">
        <v>1364.66</v>
      </c>
      <c r="D80" s="5">
        <v>482.81</v>
      </c>
      <c r="E80" s="5">
        <v>4773.2299999999996</v>
      </c>
      <c r="F80" s="5">
        <v>29.03</v>
      </c>
      <c r="G80" s="5">
        <v>29.95</v>
      </c>
      <c r="H80" s="5">
        <v>12658.9</v>
      </c>
      <c r="I80" s="5">
        <v>941.37</v>
      </c>
      <c r="J80" s="5">
        <v>95.5</v>
      </c>
      <c r="K80" s="10">
        <f t="shared" si="2"/>
        <v>1.1518324607329784E-2</v>
      </c>
      <c r="L80" s="4">
        <v>153.179993</v>
      </c>
      <c r="M80" s="10">
        <f t="shared" si="3"/>
        <v>-1.6451162783380005E-2</v>
      </c>
      <c r="N80" s="11">
        <v>2.2283430000000002</v>
      </c>
    </row>
    <row r="81" spans="1:14" x14ac:dyDescent="0.2">
      <c r="A81" s="3" t="s">
        <v>87</v>
      </c>
      <c r="B81" s="4">
        <v>1162.8</v>
      </c>
      <c r="C81" s="4">
        <v>1331.59</v>
      </c>
      <c r="D81" s="4">
        <v>493.83</v>
      </c>
      <c r="E81" s="4">
        <v>4640.18</v>
      </c>
      <c r="F81" s="4">
        <v>27.81</v>
      </c>
      <c r="G81" s="4">
        <v>28.64</v>
      </c>
      <c r="H81" s="4">
        <v>12442.9</v>
      </c>
      <c r="I81" s="4">
        <v>853.19</v>
      </c>
      <c r="J81" s="4">
        <v>96.6</v>
      </c>
      <c r="K81" s="10">
        <f t="shared" si="2"/>
        <v>2.5879917184265012E-2</v>
      </c>
      <c r="L81" s="4">
        <v>150.66000399999999</v>
      </c>
      <c r="M81" s="10">
        <f t="shared" si="3"/>
        <v>0.10633206275502297</v>
      </c>
      <c r="N81" s="11">
        <v>2.1176050000000002</v>
      </c>
    </row>
    <row r="82" spans="1:14" x14ac:dyDescent="0.2">
      <c r="A82" s="3" t="s">
        <v>88</v>
      </c>
      <c r="B82" s="5">
        <v>1136</v>
      </c>
      <c r="C82" s="5">
        <v>1338.2</v>
      </c>
      <c r="D82" s="5">
        <v>467.38</v>
      </c>
      <c r="E82" s="5">
        <v>4736.07</v>
      </c>
      <c r="F82" s="5">
        <v>28.18</v>
      </c>
      <c r="G82" s="5">
        <v>29.25</v>
      </c>
      <c r="H82" s="5">
        <v>12299.6</v>
      </c>
      <c r="I82" s="5">
        <v>833.35</v>
      </c>
      <c r="J82" s="5">
        <v>99.1</v>
      </c>
      <c r="K82" s="10">
        <f t="shared" si="2"/>
        <v>1.816347124117065E-2</v>
      </c>
      <c r="L82" s="4">
        <v>166.679993</v>
      </c>
      <c r="M82" s="10">
        <f t="shared" si="3"/>
        <v>-3.4796437746429979E-3</v>
      </c>
      <c r="N82" s="11">
        <v>1.778448</v>
      </c>
    </row>
    <row r="83" spans="1:14" x14ac:dyDescent="0.2">
      <c r="A83" s="3" t="s">
        <v>89</v>
      </c>
      <c r="B83" s="4">
        <v>1012.2</v>
      </c>
      <c r="C83" s="4">
        <v>1294.1099999999999</v>
      </c>
      <c r="D83" s="4">
        <v>401.24</v>
      </c>
      <c r="E83" s="4">
        <v>4705.6400000000003</v>
      </c>
      <c r="F83" s="4">
        <v>28.26</v>
      </c>
      <c r="G83" s="4">
        <v>29.36</v>
      </c>
      <c r="H83" s="4">
        <v>12087.9</v>
      </c>
      <c r="I83" s="4">
        <v>873.03</v>
      </c>
      <c r="J83" s="4">
        <v>100.9</v>
      </c>
      <c r="K83" s="10">
        <f t="shared" si="2"/>
        <v>-4.5589692765114057E-2</v>
      </c>
      <c r="L83" s="4">
        <v>166.10000600000001</v>
      </c>
      <c r="M83" s="10">
        <f t="shared" si="3"/>
        <v>-6.0264898485278072E-5</v>
      </c>
      <c r="N83" s="11">
        <v>1.7292190000000001</v>
      </c>
    </row>
    <row r="84" spans="1:14" x14ac:dyDescent="0.2">
      <c r="A84" s="3" t="s">
        <v>90</v>
      </c>
      <c r="B84" s="5">
        <v>1027.5999999999999</v>
      </c>
      <c r="C84" s="5">
        <v>1272.07</v>
      </c>
      <c r="D84" s="5">
        <v>412.26</v>
      </c>
      <c r="E84" s="5">
        <v>4750.29</v>
      </c>
      <c r="F84" s="5">
        <v>27.97</v>
      </c>
      <c r="G84" s="5">
        <v>28.76</v>
      </c>
      <c r="H84" s="5">
        <v>11739.6</v>
      </c>
      <c r="I84" s="5">
        <v>844.37</v>
      </c>
      <c r="J84" s="5">
        <v>96.3</v>
      </c>
      <c r="K84" s="10">
        <f t="shared" si="2"/>
        <v>-6.2305295950155172E-3</v>
      </c>
      <c r="L84" s="4">
        <v>166.08999600000001</v>
      </c>
      <c r="M84" s="10">
        <f t="shared" si="3"/>
        <v>-1.5112252757234131E-2</v>
      </c>
      <c r="N84" s="11">
        <v>1.3866400000000001</v>
      </c>
    </row>
    <row r="85" spans="1:14" x14ac:dyDescent="0.2">
      <c r="A85" s="3" t="s">
        <v>91</v>
      </c>
      <c r="B85" s="4">
        <v>1154.7</v>
      </c>
      <c r="C85" s="4">
        <v>1344.82</v>
      </c>
      <c r="D85" s="4">
        <v>440.04</v>
      </c>
      <c r="E85" s="4">
        <v>4748.3999999999996</v>
      </c>
      <c r="F85" s="4">
        <v>27.62</v>
      </c>
      <c r="G85" s="4">
        <v>28.05</v>
      </c>
      <c r="H85" s="4">
        <v>11988.7</v>
      </c>
      <c r="I85" s="4">
        <v>857.6</v>
      </c>
      <c r="J85" s="4">
        <v>95.7</v>
      </c>
      <c r="K85" s="10">
        <f t="shared" si="2"/>
        <v>-2.9258098223615435E-2</v>
      </c>
      <c r="L85" s="4">
        <v>163.58000200000001</v>
      </c>
      <c r="M85" s="10">
        <f t="shared" si="3"/>
        <v>2.237439146137184E-2</v>
      </c>
      <c r="N85" s="11">
        <v>1.386123</v>
      </c>
    </row>
    <row r="86" spans="1:14" x14ac:dyDescent="0.2">
      <c r="A86" s="3" t="s">
        <v>92</v>
      </c>
      <c r="B86" s="5">
        <v>1095.7</v>
      </c>
      <c r="C86" s="5">
        <v>1320.57</v>
      </c>
      <c r="D86" s="5">
        <v>414.47</v>
      </c>
      <c r="E86" s="5">
        <v>4858.9799999999996</v>
      </c>
      <c r="F86" s="5">
        <v>27.07</v>
      </c>
      <c r="G86" s="5">
        <v>26.86</v>
      </c>
      <c r="H86" s="5">
        <v>11719.8</v>
      </c>
      <c r="I86" s="5">
        <v>859.8</v>
      </c>
      <c r="J86" s="5">
        <v>92.9</v>
      </c>
      <c r="K86" s="10">
        <f t="shared" si="2"/>
        <v>3.3369214208826631E-2</v>
      </c>
      <c r="L86" s="4">
        <v>167.240005</v>
      </c>
      <c r="M86" s="10">
        <f t="shared" si="3"/>
        <v>7.4085144879061773E-2</v>
      </c>
      <c r="N86" s="11">
        <v>1.176137</v>
      </c>
    </row>
    <row r="87" spans="1:14" x14ac:dyDescent="0.2">
      <c r="A87" s="3" t="s">
        <v>93</v>
      </c>
      <c r="B87" s="4">
        <v>1075.9000000000001</v>
      </c>
      <c r="C87" s="4">
        <v>1358.05</v>
      </c>
      <c r="D87" s="4">
        <v>418.88</v>
      </c>
      <c r="E87" s="4">
        <v>4947.17</v>
      </c>
      <c r="F87" s="4">
        <v>26.94</v>
      </c>
      <c r="G87" s="4">
        <v>25.65</v>
      </c>
      <c r="H87" s="4">
        <v>11073.4</v>
      </c>
      <c r="I87" s="4">
        <v>866.42</v>
      </c>
      <c r="J87" s="4">
        <v>96</v>
      </c>
      <c r="K87" s="10">
        <f t="shared" si="2"/>
        <v>-2.3958333333333304E-2</v>
      </c>
      <c r="L87" s="4">
        <v>179.63000500000001</v>
      </c>
      <c r="M87" s="10">
        <f t="shared" si="3"/>
        <v>8.6287811437737519E-3</v>
      </c>
      <c r="N87" s="11">
        <v>1.0583940000000001</v>
      </c>
    </row>
    <row r="88" spans="1:14" x14ac:dyDescent="0.2">
      <c r="A88" s="3" t="s">
        <v>94</v>
      </c>
      <c r="B88" s="5">
        <v>1097.9000000000001</v>
      </c>
      <c r="C88" s="5">
        <v>1388.91</v>
      </c>
      <c r="D88" s="5">
        <v>368.17</v>
      </c>
      <c r="E88" s="5">
        <v>5050.79</v>
      </c>
      <c r="F88" s="5">
        <v>28.17</v>
      </c>
      <c r="G88" s="5">
        <v>27.31</v>
      </c>
      <c r="H88" s="5">
        <v>10946</v>
      </c>
      <c r="I88" s="5">
        <v>886.26</v>
      </c>
      <c r="J88" s="5">
        <v>93.7</v>
      </c>
      <c r="K88" s="10">
        <f t="shared" si="2"/>
        <v>0</v>
      </c>
      <c r="L88" s="4">
        <v>181.179993</v>
      </c>
      <c r="M88" s="10">
        <f t="shared" si="3"/>
        <v>-2.8700133573799709E-3</v>
      </c>
      <c r="N88" s="11">
        <v>0.93840950000000001</v>
      </c>
    </row>
    <row r="89" spans="1:14" x14ac:dyDescent="0.2">
      <c r="A89" s="3" t="s">
        <v>95</v>
      </c>
      <c r="B89" s="4">
        <v>1095.3</v>
      </c>
      <c r="C89" s="4">
        <v>1389.35</v>
      </c>
      <c r="D89" s="4">
        <v>351.64</v>
      </c>
      <c r="E89" s="4">
        <v>5211.72</v>
      </c>
      <c r="F89" s="4">
        <v>28.22</v>
      </c>
      <c r="G89" s="4">
        <v>28.37</v>
      </c>
      <c r="H89" s="4">
        <v>11210.6</v>
      </c>
      <c r="I89" s="4">
        <v>921.53</v>
      </c>
      <c r="J89" s="4">
        <v>93.7</v>
      </c>
      <c r="K89" s="10">
        <f t="shared" si="2"/>
        <v>9.6051227321237078E-3</v>
      </c>
      <c r="L89" s="4">
        <v>180.66000399999999</v>
      </c>
      <c r="M89" s="10">
        <f t="shared" si="3"/>
        <v>-4.5942764398476327E-3</v>
      </c>
      <c r="N89" s="11">
        <v>0.86363400000000001</v>
      </c>
    </row>
    <row r="90" spans="1:14" x14ac:dyDescent="0.2">
      <c r="A90" s="3" t="s">
        <v>96</v>
      </c>
      <c r="B90" s="5">
        <v>1108.9000000000001</v>
      </c>
      <c r="C90" s="5">
        <v>1501.35</v>
      </c>
      <c r="D90" s="5">
        <v>390.22</v>
      </c>
      <c r="E90" s="5">
        <v>5489.5</v>
      </c>
      <c r="F90" s="5">
        <v>27.98</v>
      </c>
      <c r="G90" s="5">
        <v>28.82</v>
      </c>
      <c r="H90" s="5">
        <v>11806.4</v>
      </c>
      <c r="I90" s="5">
        <v>930.35</v>
      </c>
      <c r="J90" s="5">
        <v>94.6</v>
      </c>
      <c r="K90" s="10">
        <f t="shared" si="2"/>
        <v>-2.9598308668076081E-2</v>
      </c>
      <c r="L90" s="4">
        <v>179.83000200000001</v>
      </c>
      <c r="M90" s="10">
        <f t="shared" si="3"/>
        <v>5.4051053171872823E-2</v>
      </c>
      <c r="N90" s="11">
        <v>0.86081169999999996</v>
      </c>
    </row>
    <row r="91" spans="1:14" x14ac:dyDescent="0.2">
      <c r="A91" s="3" t="s">
        <v>97</v>
      </c>
      <c r="B91" s="4">
        <v>1104.5</v>
      </c>
      <c r="C91" s="4">
        <v>1530.01</v>
      </c>
      <c r="D91" s="4">
        <v>374.79</v>
      </c>
      <c r="E91" s="4">
        <v>5604.14</v>
      </c>
      <c r="F91" s="4">
        <v>26.67</v>
      </c>
      <c r="G91" s="4">
        <v>27.63</v>
      </c>
      <c r="H91" s="4">
        <v>11909.8</v>
      </c>
      <c r="I91" s="4">
        <v>879.64</v>
      </c>
      <c r="J91" s="4">
        <v>91.8</v>
      </c>
      <c r="K91" s="10">
        <f t="shared" si="2"/>
        <v>5.1198257080610057E-2</v>
      </c>
      <c r="L91" s="4">
        <v>189.550003</v>
      </c>
      <c r="M91" s="10">
        <f t="shared" si="3"/>
        <v>1.2134017217609877E-2</v>
      </c>
      <c r="N91" s="11">
        <v>0.77785919999999997</v>
      </c>
    </row>
    <row r="92" spans="1:14" x14ac:dyDescent="0.2">
      <c r="A92" s="3" t="s">
        <v>98</v>
      </c>
      <c r="B92" s="5">
        <v>1031.8</v>
      </c>
      <c r="C92" s="5">
        <v>1433</v>
      </c>
      <c r="D92" s="5">
        <v>388.01</v>
      </c>
      <c r="E92" s="5">
        <v>5553.44</v>
      </c>
      <c r="F92" s="5">
        <v>26.44</v>
      </c>
      <c r="G92" s="5">
        <v>27.19</v>
      </c>
      <c r="H92" s="5">
        <v>12385.8</v>
      </c>
      <c r="I92" s="5">
        <v>809.1</v>
      </c>
      <c r="J92" s="5">
        <v>96.5</v>
      </c>
      <c r="K92" s="10">
        <f t="shared" si="2"/>
        <v>-2.5906735751295335E-2</v>
      </c>
      <c r="L92" s="4">
        <v>191.85000600000001</v>
      </c>
      <c r="M92" s="10">
        <f t="shared" si="3"/>
        <v>-4.8475786860283704E-3</v>
      </c>
      <c r="N92" s="11">
        <v>0.65845750000000003</v>
      </c>
    </row>
    <row r="93" spans="1:14" x14ac:dyDescent="0.2">
      <c r="A93" s="3" t="s">
        <v>99</v>
      </c>
      <c r="B93" s="4">
        <v>1011.9</v>
      </c>
      <c r="C93" s="4">
        <v>1474.89</v>
      </c>
      <c r="D93" s="4">
        <v>403.45</v>
      </c>
      <c r="E93" s="4">
        <v>5090.47</v>
      </c>
      <c r="F93" s="4">
        <v>26.81</v>
      </c>
      <c r="G93" s="4">
        <v>27.34</v>
      </c>
      <c r="H93" s="4">
        <v>12755.8</v>
      </c>
      <c r="I93" s="4">
        <v>767.21</v>
      </c>
      <c r="J93" s="4">
        <v>94</v>
      </c>
      <c r="K93" s="10">
        <f t="shared" si="2"/>
        <v>-1.7021276595744619E-2</v>
      </c>
      <c r="L93" s="4">
        <v>190.91999799999999</v>
      </c>
      <c r="M93" s="10">
        <f t="shared" si="3"/>
        <v>-1.1994516153305121E-2</v>
      </c>
      <c r="N93" s="11">
        <v>0.59964030000000001</v>
      </c>
    </row>
    <row r="94" spans="1:14" x14ac:dyDescent="0.2">
      <c r="A94" s="3" t="s">
        <v>100</v>
      </c>
      <c r="B94" s="5">
        <v>1018.5</v>
      </c>
      <c r="C94" s="5">
        <v>1419.78</v>
      </c>
      <c r="D94" s="5">
        <v>412.26</v>
      </c>
      <c r="E94" s="5">
        <v>4907.4799999999996</v>
      </c>
      <c r="F94" s="5">
        <v>27.34</v>
      </c>
      <c r="G94" s="5">
        <v>27.76</v>
      </c>
      <c r="H94" s="5">
        <v>12647.2</v>
      </c>
      <c r="I94" s="5">
        <v>734.14</v>
      </c>
      <c r="J94" s="5">
        <v>92.4</v>
      </c>
      <c r="K94" s="10">
        <f t="shared" si="2"/>
        <v>-3.2467532467533697E-3</v>
      </c>
      <c r="L94" s="4">
        <v>188.63000500000001</v>
      </c>
      <c r="M94" s="10">
        <f t="shared" si="3"/>
        <v>-3.4724077964160598E-2</v>
      </c>
      <c r="N94" s="11">
        <v>0.67775649999999998</v>
      </c>
    </row>
    <row r="95" spans="1:14" x14ac:dyDescent="0.2">
      <c r="A95" s="3" t="s">
        <v>101</v>
      </c>
      <c r="B95" s="4">
        <v>985.5</v>
      </c>
      <c r="C95" s="4">
        <v>1366.86</v>
      </c>
      <c r="D95" s="4">
        <v>401.24</v>
      </c>
      <c r="E95" s="4">
        <v>4570.18</v>
      </c>
      <c r="F95" s="4">
        <v>27.72</v>
      </c>
      <c r="G95" s="4">
        <v>28.27</v>
      </c>
      <c r="H95" s="4">
        <v>12325.2</v>
      </c>
      <c r="I95" s="4">
        <v>690.05</v>
      </c>
      <c r="J95" s="4">
        <v>92.1</v>
      </c>
      <c r="K95" s="10">
        <f t="shared" si="2"/>
        <v>-4.017372421281204E-2</v>
      </c>
      <c r="L95" s="4">
        <v>182.08000200000001</v>
      </c>
      <c r="M95" s="10">
        <f t="shared" si="3"/>
        <v>4.2508814339753773E-2</v>
      </c>
      <c r="N95" s="11">
        <v>0.67472379999999998</v>
      </c>
    </row>
    <row r="96" spans="1:14" x14ac:dyDescent="0.2">
      <c r="A96" s="3" t="s">
        <v>102</v>
      </c>
      <c r="B96" s="5">
        <v>970</v>
      </c>
      <c r="C96" s="5">
        <v>1384.5</v>
      </c>
      <c r="D96" s="5">
        <v>392.42</v>
      </c>
      <c r="E96" s="5">
        <v>4239.4799999999996</v>
      </c>
      <c r="F96" s="5">
        <v>28.54</v>
      </c>
      <c r="G96" s="5">
        <v>29.58</v>
      </c>
      <c r="H96" s="5">
        <v>12391.1</v>
      </c>
      <c r="I96" s="5">
        <v>632.73</v>
      </c>
      <c r="J96" s="5">
        <v>88.4</v>
      </c>
      <c r="K96" s="10">
        <f t="shared" si="2"/>
        <v>2.8280542986425336E-2</v>
      </c>
      <c r="L96" s="4">
        <v>189.820007</v>
      </c>
      <c r="M96" s="10">
        <f t="shared" si="3"/>
        <v>6.5061587528020631E-2</v>
      </c>
      <c r="N96" s="11">
        <v>0.60024010000000005</v>
      </c>
    </row>
    <row r="97" spans="1:14" x14ac:dyDescent="0.2">
      <c r="A97" s="3" t="s">
        <v>103</v>
      </c>
      <c r="B97" s="4">
        <v>950.2</v>
      </c>
      <c r="C97" s="4">
        <v>1369.07</v>
      </c>
      <c r="D97" s="4">
        <v>394.63</v>
      </c>
      <c r="E97" s="4">
        <v>4034.45</v>
      </c>
      <c r="F97" s="4">
        <v>29.82</v>
      </c>
      <c r="G97" s="4">
        <v>30.8</v>
      </c>
      <c r="H97" s="4">
        <v>9903.15</v>
      </c>
      <c r="I97" s="4">
        <v>597.45000000000005</v>
      </c>
      <c r="J97" s="4">
        <v>90.9</v>
      </c>
      <c r="K97" s="10">
        <f t="shared" si="2"/>
        <v>3.3003300330033E-2</v>
      </c>
      <c r="L97" s="4">
        <v>202.16999799999999</v>
      </c>
      <c r="M97" s="10">
        <f t="shared" si="3"/>
        <v>4.5061092595944978E-2</v>
      </c>
      <c r="N97" s="11">
        <v>0.54291719999999999</v>
      </c>
    </row>
    <row r="98" spans="1:14" x14ac:dyDescent="0.2">
      <c r="A98" s="3" t="s">
        <v>104</v>
      </c>
      <c r="B98" s="5">
        <v>1038.4000000000001</v>
      </c>
      <c r="C98" s="5">
        <v>1391.12</v>
      </c>
      <c r="D98" s="5">
        <v>392.42</v>
      </c>
      <c r="E98" s="5">
        <v>4089.57</v>
      </c>
      <c r="F98" s="5">
        <v>26.68</v>
      </c>
      <c r="G98" s="5">
        <v>27.18</v>
      </c>
      <c r="H98" s="5">
        <v>9114</v>
      </c>
      <c r="I98" s="5">
        <v>685.64</v>
      </c>
      <c r="J98" s="5">
        <v>93.9</v>
      </c>
      <c r="K98" s="10">
        <f t="shared" si="2"/>
        <v>1.8104366347177728E-2</v>
      </c>
      <c r="L98" s="4">
        <v>211.279999</v>
      </c>
      <c r="M98" s="10">
        <f t="shared" si="3"/>
        <v>2.366527841568193E-3</v>
      </c>
      <c r="N98" s="11">
        <v>0.65796469999999996</v>
      </c>
    </row>
    <row r="99" spans="1:14" x14ac:dyDescent="0.2">
      <c r="A99" s="3" t="s">
        <v>105</v>
      </c>
      <c r="B99" s="4">
        <v>1119.9000000000001</v>
      </c>
      <c r="C99" s="4">
        <v>1417.57</v>
      </c>
      <c r="D99" s="4">
        <v>368.17</v>
      </c>
      <c r="E99" s="4">
        <v>4034.45</v>
      </c>
      <c r="F99" s="4">
        <v>22.18</v>
      </c>
      <c r="G99" s="4">
        <v>22.86</v>
      </c>
      <c r="H99" s="4">
        <v>7910</v>
      </c>
      <c r="I99" s="4">
        <v>643.75</v>
      </c>
      <c r="J99" s="4">
        <v>95.6</v>
      </c>
      <c r="K99" s="10">
        <f t="shared" si="2"/>
        <v>3.1380753138076506E-3</v>
      </c>
      <c r="L99" s="4">
        <v>211.779999</v>
      </c>
      <c r="M99" s="10">
        <f t="shared" si="3"/>
        <v>7.1489276945364361E-2</v>
      </c>
      <c r="N99" s="11">
        <v>0.79863229999999996</v>
      </c>
    </row>
    <row r="100" spans="1:14" x14ac:dyDescent="0.2">
      <c r="A100" s="3" t="s">
        <v>106</v>
      </c>
      <c r="B100" s="5">
        <v>1115.5</v>
      </c>
      <c r="C100" s="5">
        <v>1404.34</v>
      </c>
      <c r="D100" s="5">
        <v>365.97</v>
      </c>
      <c r="E100" s="5">
        <v>3988.16</v>
      </c>
      <c r="F100" s="5">
        <v>17.32</v>
      </c>
      <c r="G100" s="5">
        <v>15.4</v>
      </c>
      <c r="H100" s="5">
        <v>7922.9</v>
      </c>
      <c r="I100" s="5">
        <v>608.48</v>
      </c>
      <c r="J100" s="5">
        <v>95.9</v>
      </c>
      <c r="K100" s="10">
        <f t="shared" si="2"/>
        <v>-8.3420229405632047E-3</v>
      </c>
      <c r="L100" s="4">
        <v>226.91999799999999</v>
      </c>
      <c r="M100" s="10">
        <f t="shared" si="3"/>
        <v>5.2793919026916263E-2</v>
      </c>
      <c r="N100" s="11">
        <v>0.68051539999999999</v>
      </c>
    </row>
    <row r="101" spans="1:14" x14ac:dyDescent="0.2">
      <c r="A101" s="3" t="s">
        <v>107</v>
      </c>
      <c r="B101" s="4">
        <v>1168.4000000000001</v>
      </c>
      <c r="C101" s="4">
        <v>1444.03</v>
      </c>
      <c r="D101" s="4">
        <v>365.97</v>
      </c>
      <c r="E101" s="4">
        <v>4135.87</v>
      </c>
      <c r="F101" s="4">
        <v>13.85</v>
      </c>
      <c r="G101" s="4">
        <v>12.48</v>
      </c>
      <c r="H101" s="4">
        <v>7313.6</v>
      </c>
      <c r="I101" s="4">
        <v>626.11</v>
      </c>
      <c r="J101" s="4">
        <v>95.1</v>
      </c>
      <c r="K101" s="10">
        <f t="shared" si="2"/>
        <v>1.1566771819137841E-2</v>
      </c>
      <c r="L101" s="4">
        <v>238.89999399999999</v>
      </c>
      <c r="M101" s="10">
        <f t="shared" si="3"/>
        <v>-1.4148137651271738E-2</v>
      </c>
      <c r="N101" s="11">
        <v>0.66034510000000002</v>
      </c>
    </row>
    <row r="102" spans="1:14" x14ac:dyDescent="0.2">
      <c r="A102" s="3" t="s">
        <v>108</v>
      </c>
      <c r="B102" s="5">
        <v>1164</v>
      </c>
      <c r="C102" s="5">
        <v>1433</v>
      </c>
      <c r="D102" s="5">
        <v>368.17</v>
      </c>
      <c r="E102" s="5">
        <v>4085.16</v>
      </c>
      <c r="F102" s="5">
        <v>12.48</v>
      </c>
      <c r="G102" s="5">
        <v>12.85</v>
      </c>
      <c r="H102" s="5">
        <v>5686.1</v>
      </c>
      <c r="I102" s="5">
        <v>659.18</v>
      </c>
      <c r="J102" s="5">
        <v>96.2</v>
      </c>
      <c r="K102" s="10">
        <f t="shared" si="2"/>
        <v>-1.4553014553014611E-2</v>
      </c>
      <c r="L102" s="4">
        <v>235.520004</v>
      </c>
      <c r="M102" s="10">
        <f t="shared" si="3"/>
        <v>5.0229287530073274E-2</v>
      </c>
      <c r="N102" s="11">
        <v>0.59438590000000002</v>
      </c>
    </row>
    <row r="103" spans="1:14" x14ac:dyDescent="0.2">
      <c r="A103" s="3" t="s">
        <v>109</v>
      </c>
      <c r="B103" s="4">
        <v>1164</v>
      </c>
      <c r="C103" s="4">
        <v>1417.57</v>
      </c>
      <c r="D103" s="4">
        <v>376.99</v>
      </c>
      <c r="E103" s="4">
        <v>4043.27</v>
      </c>
      <c r="F103" s="4">
        <v>14.05</v>
      </c>
      <c r="G103" s="4">
        <v>15.42</v>
      </c>
      <c r="H103" s="4">
        <v>5474.2</v>
      </c>
      <c r="I103" s="4">
        <v>707.68</v>
      </c>
      <c r="J103" s="4">
        <v>94.8</v>
      </c>
      <c r="K103" s="10">
        <f t="shared" si="2"/>
        <v>4.746835443037975E-2</v>
      </c>
      <c r="L103" s="4">
        <v>247.35000600000001</v>
      </c>
      <c r="M103" s="10">
        <f t="shared" si="3"/>
        <v>1.4109520579514381E-2</v>
      </c>
      <c r="N103" s="11">
        <v>0.62420779999999998</v>
      </c>
    </row>
    <row r="104" spans="1:14" x14ac:dyDescent="0.2">
      <c r="A104" s="3" t="s">
        <v>110</v>
      </c>
      <c r="B104" s="5">
        <v>1183.9000000000001</v>
      </c>
      <c r="C104" s="5">
        <v>1413.16</v>
      </c>
      <c r="D104" s="5">
        <v>418.88</v>
      </c>
      <c r="E104" s="5">
        <v>4087.37</v>
      </c>
      <c r="F104" s="5">
        <v>11.9</v>
      </c>
      <c r="G104" s="5">
        <v>13.56</v>
      </c>
      <c r="H104" s="5">
        <v>5378.3</v>
      </c>
      <c r="I104" s="5">
        <v>804.69</v>
      </c>
      <c r="J104" s="5">
        <v>99.3</v>
      </c>
      <c r="K104" s="10">
        <f t="shared" si="2"/>
        <v>-1.6112789526686752E-2</v>
      </c>
      <c r="L104" s="4">
        <v>250.83999600000001</v>
      </c>
      <c r="M104" s="10">
        <f t="shared" si="3"/>
        <v>-5.8682830628015256E-2</v>
      </c>
      <c r="N104" s="11">
        <v>0.62206159999999999</v>
      </c>
    </row>
    <row r="105" spans="1:14" x14ac:dyDescent="0.2">
      <c r="A105" s="3" t="s">
        <v>111</v>
      </c>
      <c r="B105" s="4">
        <v>1122.2</v>
      </c>
      <c r="C105" s="4">
        <v>1344.82</v>
      </c>
      <c r="D105" s="4">
        <v>379.19</v>
      </c>
      <c r="E105" s="4">
        <v>3911</v>
      </c>
      <c r="F105" s="4">
        <v>9.56</v>
      </c>
      <c r="G105" s="4">
        <v>11.57</v>
      </c>
      <c r="H105" s="4">
        <v>5386.6</v>
      </c>
      <c r="I105" s="4">
        <v>806.89</v>
      </c>
      <c r="J105" s="4">
        <v>97.7</v>
      </c>
      <c r="K105" s="10">
        <f t="shared" si="2"/>
        <v>-2.8659160696008157E-2</v>
      </c>
      <c r="L105" s="4">
        <v>236.11999499999999</v>
      </c>
      <c r="M105" s="10">
        <f t="shared" si="3"/>
        <v>7.1192606962404897E-2</v>
      </c>
      <c r="N105" s="11">
        <v>0.85403510000000005</v>
      </c>
    </row>
    <row r="106" spans="1:14" x14ac:dyDescent="0.2">
      <c r="A106" s="3" t="s">
        <v>112</v>
      </c>
      <c r="B106" s="5">
        <v>1128.8</v>
      </c>
      <c r="C106" s="5">
        <v>1302.93</v>
      </c>
      <c r="D106" s="5">
        <v>392.42</v>
      </c>
      <c r="E106" s="5">
        <v>3807.38</v>
      </c>
      <c r="F106" s="5">
        <v>13.47</v>
      </c>
      <c r="G106" s="5">
        <v>15.1</v>
      </c>
      <c r="H106" s="5">
        <v>5404.3</v>
      </c>
      <c r="I106" s="5">
        <v>815.71</v>
      </c>
      <c r="J106" s="5">
        <v>94.9</v>
      </c>
      <c r="K106" s="10">
        <f t="shared" si="2"/>
        <v>-3.1612223393045306E-2</v>
      </c>
      <c r="L106" s="4">
        <v>252.929993</v>
      </c>
      <c r="M106" s="10">
        <f t="shared" si="3"/>
        <v>-8.5438605930772279E-2</v>
      </c>
      <c r="N106" s="11">
        <v>0.94951070000000004</v>
      </c>
    </row>
    <row r="107" spans="1:14" x14ac:dyDescent="0.2">
      <c r="A107" s="3" t="s">
        <v>113</v>
      </c>
      <c r="B107" s="4">
        <v>1205.9000000000001</v>
      </c>
      <c r="C107" s="4">
        <v>1309.54</v>
      </c>
      <c r="D107" s="4">
        <v>407.85</v>
      </c>
      <c r="E107" s="4">
        <v>3723.6</v>
      </c>
      <c r="F107" s="4">
        <v>14.22</v>
      </c>
      <c r="G107" s="4">
        <v>14.95</v>
      </c>
      <c r="H107" s="4">
        <v>5397.2</v>
      </c>
      <c r="I107" s="4">
        <v>870.82</v>
      </c>
      <c r="J107" s="4">
        <v>91.9</v>
      </c>
      <c r="K107" s="10">
        <f t="shared" si="2"/>
        <v>4.0261153427638613E-2</v>
      </c>
      <c r="L107" s="4">
        <v>231.320007</v>
      </c>
      <c r="M107" s="10">
        <f t="shared" si="3"/>
        <v>5.4729330005596946E-2</v>
      </c>
      <c r="N107" s="11">
        <v>1.0281260000000001</v>
      </c>
    </row>
    <row r="108" spans="1:14" x14ac:dyDescent="0.2">
      <c r="A108" s="3" t="s">
        <v>114</v>
      </c>
      <c r="B108" s="5">
        <v>1161.8</v>
      </c>
      <c r="C108" s="5">
        <v>1316.16</v>
      </c>
      <c r="D108" s="5">
        <v>434.31</v>
      </c>
      <c r="E108" s="5">
        <v>3644.24</v>
      </c>
      <c r="F108" s="5">
        <v>13.88</v>
      </c>
      <c r="G108" s="5">
        <v>14.88</v>
      </c>
      <c r="H108" s="5">
        <v>5542.8</v>
      </c>
      <c r="I108" s="5">
        <v>886.26</v>
      </c>
      <c r="J108" s="5">
        <v>95.6</v>
      </c>
      <c r="K108" s="10">
        <f t="shared" si="2"/>
        <v>-4.3933054393305325E-2</v>
      </c>
      <c r="L108" s="4">
        <v>243.979996</v>
      </c>
      <c r="M108" s="10">
        <f t="shared" si="3"/>
        <v>2.1477191105454384E-2</v>
      </c>
      <c r="N108" s="11">
        <v>1.061196</v>
      </c>
    </row>
    <row r="109" spans="1:14" x14ac:dyDescent="0.2">
      <c r="A109" s="3" t="s">
        <v>115</v>
      </c>
      <c r="B109" s="4">
        <v>1131</v>
      </c>
      <c r="C109" s="4">
        <v>1302.93</v>
      </c>
      <c r="D109" s="4">
        <v>473.99</v>
      </c>
      <c r="E109" s="4">
        <v>3642.03</v>
      </c>
      <c r="F109" s="4">
        <v>14.53</v>
      </c>
      <c r="G109" s="4">
        <v>15.17</v>
      </c>
      <c r="H109" s="4">
        <v>6092.3</v>
      </c>
      <c r="I109" s="4">
        <v>820.12</v>
      </c>
      <c r="J109" s="4">
        <v>91.4</v>
      </c>
      <c r="K109" s="10">
        <f t="shared" si="2"/>
        <v>-2.516411378555811E-2</v>
      </c>
      <c r="L109" s="4">
        <v>249.220001</v>
      </c>
      <c r="M109" s="10">
        <f t="shared" si="3"/>
        <v>-2.8288271293281972E-2</v>
      </c>
      <c r="N109" s="11">
        <v>1.20461</v>
      </c>
    </row>
    <row r="110" spans="1:14" x14ac:dyDescent="0.2">
      <c r="A110" s="3" t="s">
        <v>116</v>
      </c>
      <c r="B110" s="5">
        <v>1131</v>
      </c>
      <c r="C110" s="5">
        <v>1331.59</v>
      </c>
      <c r="D110" s="5">
        <v>515.88</v>
      </c>
      <c r="E110" s="5">
        <v>3562.67</v>
      </c>
      <c r="F110" s="5">
        <v>15.76</v>
      </c>
      <c r="G110" s="5">
        <v>16.05</v>
      </c>
      <c r="H110" s="5">
        <v>6428.1</v>
      </c>
      <c r="I110" s="5">
        <v>798.07</v>
      </c>
      <c r="J110" s="5">
        <v>89.1</v>
      </c>
      <c r="K110" s="10">
        <f t="shared" si="2"/>
        <v>1.4590347923681385E-2</v>
      </c>
      <c r="L110" s="4">
        <v>242.16999799999999</v>
      </c>
      <c r="M110" s="10">
        <f t="shared" si="3"/>
        <v>0.13176689624451343</v>
      </c>
      <c r="N110" s="11">
        <v>1.247155</v>
      </c>
    </row>
    <row r="111" spans="1:14" x14ac:dyDescent="0.2">
      <c r="A111" s="3" t="s">
        <v>117</v>
      </c>
      <c r="B111" s="4">
        <v>1170.7</v>
      </c>
      <c r="C111" s="4">
        <v>1344.82</v>
      </c>
      <c r="D111" s="4">
        <v>462.97</v>
      </c>
      <c r="E111" s="4">
        <v>3525.19</v>
      </c>
      <c r="F111" s="4">
        <v>18.48</v>
      </c>
      <c r="G111" s="4">
        <v>18.690000000000001</v>
      </c>
      <c r="H111" s="4">
        <v>6712.7</v>
      </c>
      <c r="I111" s="4">
        <v>758.39</v>
      </c>
      <c r="J111" s="4">
        <v>90.4</v>
      </c>
      <c r="K111" s="10">
        <f t="shared" si="2"/>
        <v>-2.2123893805310046E-3</v>
      </c>
      <c r="L111" s="4">
        <v>274.07998700000002</v>
      </c>
      <c r="M111" s="10">
        <f t="shared" si="3"/>
        <v>3.6923618943399898E-2</v>
      </c>
      <c r="N111" s="11">
        <v>1.20949</v>
      </c>
    </row>
    <row r="112" spans="1:14" x14ac:dyDescent="0.2">
      <c r="A112" s="3" t="s">
        <v>118</v>
      </c>
      <c r="B112" s="5">
        <v>1283.0999999999999</v>
      </c>
      <c r="C112" s="5">
        <v>1380.09</v>
      </c>
      <c r="D112" s="5">
        <v>460.77</v>
      </c>
      <c r="E112" s="5">
        <v>3716.99</v>
      </c>
      <c r="F112" s="5">
        <v>17.350000000000001</v>
      </c>
      <c r="G112" s="5">
        <v>17.760000000000002</v>
      </c>
      <c r="H112" s="5">
        <v>6688.4</v>
      </c>
      <c r="I112" s="5">
        <v>740.75</v>
      </c>
      <c r="J112" s="5">
        <v>90.2</v>
      </c>
      <c r="K112" s="10">
        <f t="shared" si="2"/>
        <v>6.6518847006651251E-3</v>
      </c>
      <c r="L112" s="4">
        <v>284.20001200000002</v>
      </c>
      <c r="M112" s="10">
        <f t="shared" si="3"/>
        <v>2.6389865177064101E-2</v>
      </c>
      <c r="N112" s="11">
        <v>1.0747990000000001</v>
      </c>
    </row>
    <row r="113" spans="1:14" x14ac:dyDescent="0.2">
      <c r="A113" s="3" t="s">
        <v>119</v>
      </c>
      <c r="B113" s="4">
        <v>1369.1</v>
      </c>
      <c r="C113" s="4">
        <v>1463.87</v>
      </c>
      <c r="D113" s="4">
        <v>487.22</v>
      </c>
      <c r="E113" s="4">
        <v>3772.1</v>
      </c>
      <c r="F113" s="4">
        <v>17.89</v>
      </c>
      <c r="G113" s="4">
        <v>18.41</v>
      </c>
      <c r="H113" s="4">
        <v>6631.5</v>
      </c>
      <c r="I113" s="4">
        <v>731.93</v>
      </c>
      <c r="J113" s="4">
        <v>90.8</v>
      </c>
      <c r="K113" s="10">
        <f t="shared" si="2"/>
        <v>2.2026431718061675E-2</v>
      </c>
      <c r="L113" s="4">
        <v>291.70001200000002</v>
      </c>
      <c r="M113" s="10">
        <f t="shared" si="3"/>
        <v>-1.1450212076096934E-2</v>
      </c>
      <c r="N113" s="11">
        <v>1.0200070000000001</v>
      </c>
    </row>
    <row r="114" spans="1:14" x14ac:dyDescent="0.2">
      <c r="A114" s="3" t="s">
        <v>120</v>
      </c>
      <c r="B114" s="5">
        <v>1399.9</v>
      </c>
      <c r="C114" s="5">
        <v>1483.71</v>
      </c>
      <c r="D114" s="5">
        <v>555.55999999999995</v>
      </c>
      <c r="E114" s="5">
        <v>3897.77</v>
      </c>
      <c r="F114" s="5">
        <v>18.45</v>
      </c>
      <c r="G114" s="5">
        <v>18.670000000000002</v>
      </c>
      <c r="H114" s="5">
        <v>6699.8</v>
      </c>
      <c r="I114" s="5">
        <v>760.59</v>
      </c>
      <c r="J114" s="5">
        <v>92.8</v>
      </c>
      <c r="K114" s="10">
        <f t="shared" si="2"/>
        <v>-1.8318965517241409E-2</v>
      </c>
      <c r="L114" s="4">
        <v>288.35998499999999</v>
      </c>
      <c r="M114" s="10">
        <f t="shared" si="3"/>
        <v>6.0341971511755103E-3</v>
      </c>
      <c r="N114" s="11">
        <v>1.0508090000000001</v>
      </c>
    </row>
    <row r="115" spans="1:14" x14ac:dyDescent="0.2">
      <c r="A115" s="3" t="s">
        <v>121</v>
      </c>
      <c r="B115" s="4">
        <v>1411</v>
      </c>
      <c r="C115" s="4">
        <v>1518.98</v>
      </c>
      <c r="D115" s="4">
        <v>692.25</v>
      </c>
      <c r="E115" s="4">
        <v>4435.7</v>
      </c>
      <c r="F115" s="4">
        <v>18.75</v>
      </c>
      <c r="G115" s="4">
        <v>19.440000000000001</v>
      </c>
      <c r="H115" s="4">
        <v>6747.4</v>
      </c>
      <c r="I115" s="4">
        <v>837.76</v>
      </c>
      <c r="J115" s="4">
        <v>91.1</v>
      </c>
      <c r="K115" s="10">
        <f t="shared" si="2"/>
        <v>4.3907793633370549E-3</v>
      </c>
      <c r="L115" s="4">
        <v>290.10000600000001</v>
      </c>
      <c r="M115" s="10">
        <f t="shared" si="3"/>
        <v>4.791449056364374E-2</v>
      </c>
      <c r="N115" s="11">
        <v>0.94899440000000002</v>
      </c>
    </row>
    <row r="116" spans="1:14" x14ac:dyDescent="0.2">
      <c r="A116" s="3" t="s">
        <v>122</v>
      </c>
      <c r="B116" s="5">
        <v>1472.7</v>
      </c>
      <c r="C116" s="5">
        <v>1571.89</v>
      </c>
      <c r="D116" s="5">
        <v>628.32000000000005</v>
      </c>
      <c r="E116" s="5">
        <v>4435.7</v>
      </c>
      <c r="F116" s="5">
        <v>18.850000000000001</v>
      </c>
      <c r="G116" s="5">
        <v>20.07</v>
      </c>
      <c r="H116" s="5">
        <v>6610.4</v>
      </c>
      <c r="I116" s="5">
        <v>877.44</v>
      </c>
      <c r="J116" s="5">
        <v>91.5</v>
      </c>
      <c r="K116" s="10">
        <f t="shared" si="2"/>
        <v>2.4043715846994565E-2</v>
      </c>
      <c r="L116" s="4">
        <v>304</v>
      </c>
      <c r="M116" s="10">
        <f t="shared" si="3"/>
        <v>4.8223697368421102E-2</v>
      </c>
      <c r="N116" s="11">
        <v>0.86661679999999996</v>
      </c>
    </row>
    <row r="117" spans="1:14" x14ac:dyDescent="0.2">
      <c r="A117" s="3" t="s">
        <v>123</v>
      </c>
      <c r="B117" s="4">
        <v>1653.5</v>
      </c>
      <c r="C117" s="4">
        <v>1693.15</v>
      </c>
      <c r="D117" s="4">
        <v>663.59</v>
      </c>
      <c r="E117" s="4">
        <v>4753.16</v>
      </c>
      <c r="F117" s="4">
        <v>19.829999999999998</v>
      </c>
      <c r="G117" s="4">
        <v>21.34</v>
      </c>
      <c r="H117" s="4">
        <v>6404.9</v>
      </c>
      <c r="I117" s="4">
        <v>828.94</v>
      </c>
      <c r="J117" s="4">
        <v>93.7</v>
      </c>
      <c r="K117" s="10">
        <f t="shared" si="2"/>
        <v>7.4706510138740963E-3</v>
      </c>
      <c r="L117" s="4">
        <v>318.66000400000001</v>
      </c>
      <c r="M117" s="10">
        <f t="shared" si="3"/>
        <v>3.4958839704276067E-2</v>
      </c>
      <c r="N117" s="11">
        <v>0.7240415</v>
      </c>
    </row>
    <row r="118" spans="1:14" x14ac:dyDescent="0.2">
      <c r="A118" s="3" t="s">
        <v>124</v>
      </c>
      <c r="B118" s="5">
        <v>1810</v>
      </c>
      <c r="C118" s="5">
        <v>1754.88</v>
      </c>
      <c r="D118" s="5">
        <v>659.18</v>
      </c>
      <c r="E118" s="5">
        <v>5306.52</v>
      </c>
      <c r="F118" s="5">
        <v>19.07</v>
      </c>
      <c r="G118" s="5">
        <v>20.28</v>
      </c>
      <c r="H118" s="5">
        <v>6556.1</v>
      </c>
      <c r="I118" s="5">
        <v>802.48</v>
      </c>
      <c r="J118" s="5">
        <v>94.4</v>
      </c>
      <c r="K118" s="10">
        <f t="shared" si="2"/>
        <v>-8.4745762711865603E-3</v>
      </c>
      <c r="L118" s="4">
        <v>329.79998799999998</v>
      </c>
      <c r="M118" s="10">
        <f t="shared" si="3"/>
        <v>-2.4166165221327928E-2</v>
      </c>
      <c r="N118" s="11">
        <v>0.599298</v>
      </c>
    </row>
    <row r="119" spans="1:14" x14ac:dyDescent="0.2">
      <c r="A119" s="3" t="s">
        <v>125</v>
      </c>
      <c r="B119" s="4">
        <v>1746.1</v>
      </c>
      <c r="C119" s="4">
        <v>1809.99</v>
      </c>
      <c r="D119" s="4">
        <v>645.95000000000005</v>
      </c>
      <c r="E119" s="4">
        <v>5332.98</v>
      </c>
      <c r="F119" s="4">
        <v>18.39</v>
      </c>
      <c r="G119" s="4">
        <v>19.55</v>
      </c>
      <c r="H119" s="4">
        <v>6706.3</v>
      </c>
      <c r="I119" s="4">
        <v>756.18</v>
      </c>
      <c r="J119" s="4">
        <v>93.6</v>
      </c>
      <c r="K119" s="10">
        <f t="shared" si="2"/>
        <v>-4.5940170940170916E-2</v>
      </c>
      <c r="L119" s="4">
        <v>321.82998700000002</v>
      </c>
      <c r="M119" s="10">
        <f t="shared" si="3"/>
        <v>-0.21763041614888423</v>
      </c>
      <c r="N119" s="11">
        <v>0.63141230000000004</v>
      </c>
    </row>
    <row r="120" spans="1:14" x14ac:dyDescent="0.2">
      <c r="A120" s="3" t="s">
        <v>126</v>
      </c>
      <c r="B120" s="5">
        <v>1962.1</v>
      </c>
      <c r="C120" s="5">
        <v>1966.52</v>
      </c>
      <c r="D120" s="5">
        <v>599.66</v>
      </c>
      <c r="E120" s="5">
        <v>5692.33</v>
      </c>
      <c r="F120" s="5">
        <v>18.850000000000001</v>
      </c>
      <c r="G120" s="5">
        <v>19.87</v>
      </c>
      <c r="H120" s="5">
        <v>6763.8</v>
      </c>
      <c r="I120" s="5">
        <v>769.41</v>
      </c>
      <c r="J120" s="5">
        <v>89.3</v>
      </c>
      <c r="K120" s="10">
        <f t="shared" si="2"/>
        <v>-6.9428891377379648E-2</v>
      </c>
      <c r="L120" s="4">
        <v>251.78999300000001</v>
      </c>
      <c r="M120" s="10">
        <f t="shared" si="3"/>
        <v>-8.5348864519806417E-2</v>
      </c>
      <c r="N120" s="11">
        <v>0.51450739999999995</v>
      </c>
    </row>
    <row r="121" spans="1:14" x14ac:dyDescent="0.2">
      <c r="A121" s="3" t="s">
        <v>127</v>
      </c>
      <c r="B121" s="4">
        <v>1679.9</v>
      </c>
      <c r="C121" s="4">
        <v>2519.88</v>
      </c>
      <c r="D121" s="4">
        <v>641.54</v>
      </c>
      <c r="E121" s="4">
        <v>5937.04</v>
      </c>
      <c r="F121" s="4">
        <v>17.899999999999999</v>
      </c>
      <c r="G121" s="4">
        <v>18.97</v>
      </c>
      <c r="H121" s="4">
        <v>6927.3</v>
      </c>
      <c r="I121" s="4">
        <v>846.57</v>
      </c>
      <c r="J121" s="4">
        <v>83.1</v>
      </c>
      <c r="K121" s="10">
        <f t="shared" si="2"/>
        <v>4.4524669073405576E-2</v>
      </c>
      <c r="L121" s="4">
        <v>230.300003</v>
      </c>
      <c r="M121" s="10">
        <f t="shared" si="3"/>
        <v>7.2861479728248219E-2</v>
      </c>
      <c r="N121" s="11">
        <v>0.54399960000000003</v>
      </c>
    </row>
    <row r="122" spans="1:14" x14ac:dyDescent="0.2">
      <c r="A122" s="3" t="s">
        <v>128</v>
      </c>
      <c r="B122" s="5">
        <v>1823.2</v>
      </c>
      <c r="C122" s="5">
        <v>2866.01</v>
      </c>
      <c r="D122" s="5">
        <v>659.18</v>
      </c>
      <c r="E122" s="5">
        <v>7661.05</v>
      </c>
      <c r="F122" s="5">
        <v>17.420000000000002</v>
      </c>
      <c r="G122" s="5">
        <v>17.27</v>
      </c>
      <c r="H122" s="5">
        <v>6829.4</v>
      </c>
      <c r="I122" s="5">
        <v>866.42</v>
      </c>
      <c r="J122" s="5">
        <v>86.8</v>
      </c>
      <c r="K122" s="10">
        <f t="shared" si="2"/>
        <v>4.6082949308755762E-2</v>
      </c>
      <c r="L122" s="4">
        <v>247.08000200000001</v>
      </c>
      <c r="M122" s="10">
        <f t="shared" si="3"/>
        <v>4.0432268573479965E-2</v>
      </c>
      <c r="N122" s="11">
        <v>0.243424</v>
      </c>
    </row>
    <row r="123" spans="1:14" x14ac:dyDescent="0.2">
      <c r="A123" s="3" t="s">
        <v>129</v>
      </c>
      <c r="B123" s="4">
        <v>2001.8</v>
      </c>
      <c r="C123" s="4">
        <v>2660.98</v>
      </c>
      <c r="D123" s="4">
        <v>665.8</v>
      </c>
      <c r="E123" s="4">
        <v>8073.32</v>
      </c>
      <c r="F123" s="4">
        <v>16.93</v>
      </c>
      <c r="G123" s="4">
        <v>17.14</v>
      </c>
      <c r="H123" s="4">
        <v>6808.1</v>
      </c>
      <c r="I123" s="4">
        <v>877.44</v>
      </c>
      <c r="J123" s="4">
        <v>90.8</v>
      </c>
      <c r="K123" s="10">
        <f t="shared" si="2"/>
        <v>8.8105726872246392E-3</v>
      </c>
      <c r="L123" s="4">
        <v>257.07000699999998</v>
      </c>
      <c r="M123" s="10">
        <f t="shared" si="3"/>
        <v>4.1817402681285962E-2</v>
      </c>
      <c r="N123" s="11">
        <v>0.2465473</v>
      </c>
    </row>
    <row r="124" spans="1:14" x14ac:dyDescent="0.2">
      <c r="A124" s="3" t="s">
        <v>130</v>
      </c>
      <c r="B124" s="5">
        <v>2138.5</v>
      </c>
      <c r="C124" s="5">
        <v>2328.08</v>
      </c>
      <c r="D124" s="5">
        <v>654.77</v>
      </c>
      <c r="E124" s="5">
        <v>8666.36</v>
      </c>
      <c r="F124" s="5">
        <v>15.76</v>
      </c>
      <c r="G124" s="5">
        <v>16.73</v>
      </c>
      <c r="H124" s="5">
        <v>6690.1</v>
      </c>
      <c r="I124" s="5">
        <v>875.23</v>
      </c>
      <c r="J124" s="5">
        <v>91.6</v>
      </c>
      <c r="K124" s="10">
        <f t="shared" si="2"/>
        <v>3.2751091703056769E-2</v>
      </c>
      <c r="L124" s="4">
        <v>267.82000699999998</v>
      </c>
      <c r="M124" s="10">
        <f t="shared" si="3"/>
        <v>-3.3343259527283828E-2</v>
      </c>
      <c r="N124" s="11">
        <v>0.28713460000000002</v>
      </c>
    </row>
    <row r="125" spans="1:14" x14ac:dyDescent="0.2">
      <c r="A125" s="3" t="s">
        <v>131</v>
      </c>
      <c r="B125" s="4">
        <v>2526.5</v>
      </c>
      <c r="C125" s="4">
        <v>2358.94</v>
      </c>
      <c r="D125" s="4">
        <v>648.16</v>
      </c>
      <c r="E125" s="4">
        <v>15496.3</v>
      </c>
      <c r="F125" s="4">
        <v>14.79</v>
      </c>
      <c r="G125" s="4">
        <v>16.190000000000001</v>
      </c>
      <c r="H125" s="4">
        <v>6772.9</v>
      </c>
      <c r="I125" s="4">
        <v>981.06</v>
      </c>
      <c r="J125" s="4">
        <v>94.6</v>
      </c>
      <c r="K125" s="10">
        <f t="shared" si="2"/>
        <v>-3.5940803382663762E-2</v>
      </c>
      <c r="L125" s="4">
        <v>258.89001500000001</v>
      </c>
      <c r="M125" s="10">
        <f t="shared" si="3"/>
        <v>9.4247435537442859E-3</v>
      </c>
      <c r="N125" s="11">
        <v>0.1578676</v>
      </c>
    </row>
    <row r="126" spans="1:14" x14ac:dyDescent="0.2">
      <c r="A126" s="3" t="s">
        <v>132</v>
      </c>
      <c r="B126" s="5">
        <v>2508.9</v>
      </c>
      <c r="C126" s="5">
        <v>2283.9899999999998</v>
      </c>
      <c r="D126" s="5">
        <v>648.16</v>
      </c>
      <c r="E126" s="5">
        <v>18011.8</v>
      </c>
      <c r="F126" s="5">
        <v>16.62</v>
      </c>
      <c r="G126" s="5">
        <v>17.899999999999999</v>
      </c>
      <c r="H126" s="5">
        <v>6752.6</v>
      </c>
      <c r="I126" s="5">
        <v>1069.24</v>
      </c>
      <c r="J126" s="5">
        <v>91.2</v>
      </c>
      <c r="K126" s="10">
        <f t="shared" si="2"/>
        <v>3.9473684210526251E-2</v>
      </c>
      <c r="L126" s="4">
        <v>261.32998700000002</v>
      </c>
      <c r="M126" s="10">
        <f t="shared" si="3"/>
        <v>3.1761261289926057E-3</v>
      </c>
      <c r="N126" s="11">
        <v>5.5650999999999999E-3</v>
      </c>
    </row>
    <row r="127" spans="1:14" x14ac:dyDescent="0.2">
      <c r="A127" s="3" t="s">
        <v>133</v>
      </c>
      <c r="B127" s="4">
        <v>2987.3</v>
      </c>
      <c r="C127" s="4">
        <v>2442.7199999999998</v>
      </c>
      <c r="D127" s="4">
        <v>668</v>
      </c>
      <c r="E127" s="4">
        <v>17024.099999999999</v>
      </c>
      <c r="F127" s="4">
        <v>16.420000000000002</v>
      </c>
      <c r="G127" s="4">
        <v>17.39</v>
      </c>
      <c r="H127" s="4">
        <v>6777.6</v>
      </c>
      <c r="I127" s="4">
        <v>1175.06</v>
      </c>
      <c r="J127" s="4">
        <v>94.8</v>
      </c>
      <c r="K127" s="10">
        <f t="shared" si="2"/>
        <v>-1.0548523206750455E-3</v>
      </c>
      <c r="L127" s="4">
        <v>262.16000400000001</v>
      </c>
      <c r="M127" s="10">
        <f t="shared" si="3"/>
        <v>4.32560109359778E-2</v>
      </c>
      <c r="N127" s="11">
        <v>-1.2066E-2</v>
      </c>
    </row>
    <row r="128" spans="1:14" x14ac:dyDescent="0.2">
      <c r="A128" s="3" t="s">
        <v>134</v>
      </c>
      <c r="B128" s="5">
        <v>3578.1</v>
      </c>
      <c r="C128" s="5">
        <v>2539.7199999999998</v>
      </c>
      <c r="D128" s="5">
        <v>676.82</v>
      </c>
      <c r="E128" s="5">
        <v>15588.9</v>
      </c>
      <c r="F128" s="5">
        <v>15.59</v>
      </c>
      <c r="G128" s="5">
        <v>16.47</v>
      </c>
      <c r="H128" s="5">
        <v>7035.8</v>
      </c>
      <c r="I128" s="5">
        <v>1364.66</v>
      </c>
      <c r="J128" s="5">
        <v>94.7</v>
      </c>
      <c r="K128" s="10">
        <f t="shared" si="2"/>
        <v>-1.3727560718056992E-2</v>
      </c>
      <c r="L128" s="4">
        <v>273.5</v>
      </c>
      <c r="M128" s="10">
        <f t="shared" si="3"/>
        <v>-5.4113747714807691E-3</v>
      </c>
      <c r="N128" s="11">
        <v>-0.11061020000000001</v>
      </c>
    </row>
    <row r="129" spans="1:14" x14ac:dyDescent="0.2">
      <c r="A129" s="3" t="s">
        <v>135</v>
      </c>
      <c r="B129" s="4">
        <v>2581.6</v>
      </c>
      <c r="C129" s="4">
        <v>2213.44</v>
      </c>
      <c r="D129" s="4">
        <v>619.5</v>
      </c>
      <c r="E129" s="4">
        <v>14592.4</v>
      </c>
      <c r="F129" s="4">
        <v>14.94</v>
      </c>
      <c r="G129" s="4">
        <v>15.5</v>
      </c>
      <c r="H129" s="4">
        <v>7148.8</v>
      </c>
      <c r="I129" s="4">
        <v>1236.79</v>
      </c>
      <c r="J129" s="4">
        <v>93.4</v>
      </c>
      <c r="K129" s="10">
        <f t="shared" si="2"/>
        <v>4.2826552462526764E-2</v>
      </c>
      <c r="L129" s="4">
        <v>272.01998900000001</v>
      </c>
      <c r="M129" s="10">
        <f t="shared" si="3"/>
        <v>-3.8600104494526687E-2</v>
      </c>
      <c r="N129" s="11">
        <v>-0.20965220000000001</v>
      </c>
    </row>
    <row r="130" spans="1:14" x14ac:dyDescent="0.2">
      <c r="A130" s="3" t="s">
        <v>136</v>
      </c>
      <c r="B130" s="5">
        <v>2700.7</v>
      </c>
      <c r="C130" s="5">
        <v>2200.21</v>
      </c>
      <c r="D130" s="5">
        <v>601.86</v>
      </c>
      <c r="E130" s="5">
        <v>14186.7</v>
      </c>
      <c r="F130" s="5">
        <v>15</v>
      </c>
      <c r="G130" s="5">
        <v>15.52</v>
      </c>
      <c r="H130" s="5">
        <v>7322.7</v>
      </c>
      <c r="I130" s="5">
        <v>1307.3399999999999</v>
      </c>
      <c r="J130" s="5">
        <v>97.4</v>
      </c>
      <c r="K130" s="10">
        <f t="shared" si="2"/>
        <v>-1.0266940451746254E-3</v>
      </c>
      <c r="L130" s="4">
        <v>261.51998900000001</v>
      </c>
      <c r="M130" s="10">
        <f t="shared" si="3"/>
        <v>3.9729334035724533E-2</v>
      </c>
      <c r="N130" s="11">
        <v>-0.2386528</v>
      </c>
    </row>
    <row r="131" spans="1:14" x14ac:dyDescent="0.2">
      <c r="A131" s="3" t="s">
        <v>137</v>
      </c>
      <c r="B131" s="4">
        <v>2387.6</v>
      </c>
      <c r="C131" s="4">
        <v>2433.9</v>
      </c>
      <c r="D131" s="4">
        <v>608.48</v>
      </c>
      <c r="E131" s="4">
        <v>11878.5</v>
      </c>
      <c r="F131" s="4">
        <v>13.35</v>
      </c>
      <c r="G131" s="4">
        <v>14.55</v>
      </c>
      <c r="H131" s="4">
        <v>7408.5</v>
      </c>
      <c r="I131" s="4">
        <v>1329.39</v>
      </c>
      <c r="J131" s="4">
        <v>97.3</v>
      </c>
      <c r="K131" s="10">
        <f t="shared" si="2"/>
        <v>-3.2887975334018528E-2</v>
      </c>
      <c r="L131" s="4">
        <v>271.91000400000001</v>
      </c>
      <c r="M131" s="10">
        <f t="shared" si="3"/>
        <v>2.596446212401957E-2</v>
      </c>
      <c r="N131" s="11">
        <v>-0.31796839999999998</v>
      </c>
    </row>
    <row r="132" spans="1:14" x14ac:dyDescent="0.2">
      <c r="A132" s="3" t="s">
        <v>138</v>
      </c>
      <c r="B132" s="5">
        <v>2308.1999999999998</v>
      </c>
      <c r="C132" s="5">
        <v>2936.55</v>
      </c>
      <c r="D132" s="5">
        <v>654.77</v>
      </c>
      <c r="E132" s="5">
        <v>11556.6</v>
      </c>
      <c r="F132" s="5">
        <v>12.28</v>
      </c>
      <c r="G132" s="5">
        <v>13.78</v>
      </c>
      <c r="H132" s="5">
        <v>7252.7</v>
      </c>
      <c r="I132" s="5">
        <v>1518.98</v>
      </c>
      <c r="J132" s="5">
        <v>94.1</v>
      </c>
      <c r="K132" s="10">
        <f t="shared" ref="K132:K195" si="4" xml:space="preserve"> (J133-J132)/J132</f>
        <v>-1.1689691817215669E-2</v>
      </c>
      <c r="L132" s="4">
        <v>278.97000100000002</v>
      </c>
      <c r="M132" s="10">
        <f t="shared" ref="M132:M195" si="5" xml:space="preserve"> (L133-L132)/L132</f>
        <v>-1.8890880672148003E-2</v>
      </c>
      <c r="N132" s="11">
        <v>-0.48061559999999998</v>
      </c>
    </row>
    <row r="133" spans="1:14" x14ac:dyDescent="0.2">
      <c r="A133" s="3" t="s">
        <v>139</v>
      </c>
      <c r="B133" s="4">
        <v>2381</v>
      </c>
      <c r="C133" s="4">
        <v>3302.52</v>
      </c>
      <c r="D133" s="4">
        <v>690.05</v>
      </c>
      <c r="E133" s="4">
        <v>13342.4</v>
      </c>
      <c r="F133" s="4">
        <v>12.92</v>
      </c>
      <c r="G133" s="4">
        <v>14.12</v>
      </c>
      <c r="H133" s="4">
        <v>7312.4</v>
      </c>
      <c r="I133" s="4">
        <v>1556.46</v>
      </c>
      <c r="J133" s="4">
        <v>93</v>
      </c>
      <c r="K133" s="10">
        <f t="shared" si="4"/>
        <v>-1.1827956989247251E-2</v>
      </c>
      <c r="L133" s="4">
        <v>273.70001200000002</v>
      </c>
      <c r="M133" s="10">
        <f t="shared" si="5"/>
        <v>1.468757334215977E-2</v>
      </c>
      <c r="N133" s="11">
        <v>-0.46758339999999998</v>
      </c>
    </row>
    <row r="134" spans="1:14" x14ac:dyDescent="0.2">
      <c r="A134" s="3" t="s">
        <v>140</v>
      </c>
      <c r="B134" s="5">
        <v>2458.1999999999998</v>
      </c>
      <c r="C134" s="5">
        <v>3496.53</v>
      </c>
      <c r="D134" s="5">
        <v>729.73</v>
      </c>
      <c r="E134" s="5">
        <v>16920.5</v>
      </c>
      <c r="F134" s="5">
        <v>15.1</v>
      </c>
      <c r="G134" s="5">
        <v>16.37</v>
      </c>
      <c r="H134" s="5">
        <v>7337.4</v>
      </c>
      <c r="I134" s="5">
        <v>1591.74</v>
      </c>
      <c r="J134" s="5">
        <v>91.9</v>
      </c>
      <c r="K134" s="10">
        <f t="shared" si="4"/>
        <v>6.5288356909684431E-2</v>
      </c>
      <c r="L134" s="4">
        <v>277.72000100000002</v>
      </c>
      <c r="M134" s="10">
        <f t="shared" si="5"/>
        <v>7.1114791620643839E-2</v>
      </c>
      <c r="N134" s="11">
        <v>-0.40922510000000001</v>
      </c>
    </row>
    <row r="135" spans="1:14" x14ac:dyDescent="0.2">
      <c r="A135" s="3" t="s">
        <v>141</v>
      </c>
      <c r="B135" s="4">
        <v>2398.6</v>
      </c>
      <c r="C135" s="4">
        <v>3392.91</v>
      </c>
      <c r="D135" s="4">
        <v>674.61</v>
      </c>
      <c r="E135" s="4">
        <v>17725.099999999999</v>
      </c>
      <c r="F135" s="4">
        <v>16.96</v>
      </c>
      <c r="G135" s="4">
        <v>18.010000000000002</v>
      </c>
      <c r="H135" s="4">
        <v>7409.6</v>
      </c>
      <c r="I135" s="4">
        <v>1732.83</v>
      </c>
      <c r="J135" s="4">
        <v>97.9</v>
      </c>
      <c r="K135" s="10">
        <f t="shared" si="4"/>
        <v>-2.5536261491317668E-2</v>
      </c>
      <c r="L135" s="4">
        <v>297.47000100000002</v>
      </c>
      <c r="M135" s="10">
        <f t="shared" si="5"/>
        <v>-2.8944148892513129E-2</v>
      </c>
      <c r="N135" s="11">
        <v>-0.44699889999999998</v>
      </c>
    </row>
    <row r="136" spans="1:14" x14ac:dyDescent="0.2">
      <c r="A136" s="3" t="s">
        <v>142</v>
      </c>
      <c r="B136" s="5">
        <v>2175.6</v>
      </c>
      <c r="C136" s="5">
        <v>3095.29</v>
      </c>
      <c r="D136" s="5">
        <v>620.96</v>
      </c>
      <c r="E136" s="5">
        <v>18582.5</v>
      </c>
      <c r="F136" s="5">
        <v>16.739999999999998</v>
      </c>
      <c r="G136" s="5">
        <v>17.97</v>
      </c>
      <c r="H136" s="5">
        <v>7873.7</v>
      </c>
      <c r="I136" s="5">
        <v>1929.5</v>
      </c>
      <c r="J136" s="5">
        <v>95.4</v>
      </c>
      <c r="K136" s="10">
        <f t="shared" si="4"/>
        <v>-1.1530398322851241E-2</v>
      </c>
      <c r="L136" s="4">
        <v>288.85998499999999</v>
      </c>
      <c r="M136" s="10">
        <f t="shared" si="5"/>
        <v>2.0805962445785014E-2</v>
      </c>
      <c r="N136" s="11">
        <v>-0.46784120000000001</v>
      </c>
    </row>
    <row r="137" spans="1:14" x14ac:dyDescent="0.2">
      <c r="A137" s="3" t="s">
        <v>143</v>
      </c>
      <c r="B137" s="4">
        <v>2074.5</v>
      </c>
      <c r="C137" s="4">
        <v>3262.84</v>
      </c>
      <c r="D137" s="4">
        <v>588.63</v>
      </c>
      <c r="E137" s="4">
        <v>17156.3</v>
      </c>
      <c r="F137" s="4">
        <v>18.68</v>
      </c>
      <c r="G137" s="4">
        <v>19.489999999999998</v>
      </c>
      <c r="H137" s="4">
        <v>8760.5</v>
      </c>
      <c r="I137" s="4">
        <v>1959.91</v>
      </c>
      <c r="J137" s="4">
        <v>94.3</v>
      </c>
      <c r="K137" s="10">
        <f t="shared" si="4"/>
        <v>-2.9692470837751825E-2</v>
      </c>
      <c r="L137" s="4">
        <v>294.86999500000002</v>
      </c>
      <c r="M137" s="10">
        <f t="shared" si="5"/>
        <v>5.0089938788108933E-2</v>
      </c>
      <c r="N137" s="11">
        <v>-0.4610226</v>
      </c>
    </row>
    <row r="138" spans="1:14" x14ac:dyDescent="0.2">
      <c r="A138" s="3" t="s">
        <v>144</v>
      </c>
      <c r="B138" s="5">
        <v>2125.8000000000002</v>
      </c>
      <c r="C138" s="5">
        <v>3117.33</v>
      </c>
      <c r="D138" s="5">
        <v>607.5</v>
      </c>
      <c r="E138" s="5">
        <v>15261.5</v>
      </c>
      <c r="F138" s="5">
        <v>19.87</v>
      </c>
      <c r="G138" s="5">
        <v>21.19</v>
      </c>
      <c r="H138" s="5">
        <v>10195.9</v>
      </c>
      <c r="I138" s="5">
        <v>1654.4</v>
      </c>
      <c r="J138" s="5">
        <v>91.5</v>
      </c>
      <c r="K138" s="10">
        <f t="shared" si="4"/>
        <v>-8.7431693989070726E-3</v>
      </c>
      <c r="L138" s="4">
        <v>309.64001500000001</v>
      </c>
      <c r="M138" s="10">
        <f t="shared" si="5"/>
        <v>3.5137493453486636E-2</v>
      </c>
      <c r="N138" s="11">
        <v>-0.4465771</v>
      </c>
    </row>
    <row r="139" spans="1:14" x14ac:dyDescent="0.2">
      <c r="A139" s="3" t="s">
        <v>145</v>
      </c>
      <c r="B139" s="4">
        <v>2259</v>
      </c>
      <c r="C139" s="4">
        <v>2738.14</v>
      </c>
      <c r="D139" s="4">
        <v>643</v>
      </c>
      <c r="E139" s="4">
        <v>13454</v>
      </c>
      <c r="F139" s="4">
        <v>18.46</v>
      </c>
      <c r="G139" s="4">
        <v>20.350000000000001</v>
      </c>
      <c r="H139" s="4">
        <v>10143.700000000001</v>
      </c>
      <c r="I139" s="4">
        <v>1627</v>
      </c>
      <c r="J139" s="4">
        <v>90.7</v>
      </c>
      <c r="K139" s="10">
        <f t="shared" si="4"/>
        <v>-1.1025358324146474E-3</v>
      </c>
      <c r="L139" s="4">
        <v>320.51998900000001</v>
      </c>
      <c r="M139" s="10">
        <f t="shared" si="5"/>
        <v>-7.9245541219584246E-3</v>
      </c>
      <c r="N139" s="11">
        <v>-0.49498920000000002</v>
      </c>
    </row>
    <row r="140" spans="1:14" x14ac:dyDescent="0.2">
      <c r="A140" s="3" t="s">
        <v>146</v>
      </c>
      <c r="B140" s="5">
        <v>1914</v>
      </c>
      <c r="C140" s="5">
        <v>2544.13</v>
      </c>
      <c r="D140" s="5">
        <v>665</v>
      </c>
      <c r="E140" s="5">
        <v>12143</v>
      </c>
      <c r="F140" s="5">
        <v>17.57</v>
      </c>
      <c r="G140" s="5">
        <v>20.239999999999998</v>
      </c>
      <c r="H140" s="5">
        <v>9935.5</v>
      </c>
      <c r="I140" s="5">
        <v>1537</v>
      </c>
      <c r="J140" s="5">
        <v>90.6</v>
      </c>
      <c r="K140" s="10">
        <f t="shared" si="4"/>
        <v>1.5452538631346642E-2</v>
      </c>
      <c r="L140" s="4">
        <v>317.98001099999999</v>
      </c>
      <c r="M140" s="10">
        <f t="shared" si="5"/>
        <v>8.8370259223621531E-2</v>
      </c>
      <c r="N140" s="11">
        <v>-0.37628630000000002</v>
      </c>
    </row>
    <row r="141" spans="1:14" x14ac:dyDescent="0.2">
      <c r="A141" s="3" t="s">
        <v>147</v>
      </c>
      <c r="B141" s="4">
        <v>1756</v>
      </c>
      <c r="C141" s="4">
        <v>2503.79</v>
      </c>
      <c r="D141" s="4">
        <v>691</v>
      </c>
      <c r="E141" s="4">
        <v>12275</v>
      </c>
      <c r="F141" s="4">
        <v>17.690000000000001</v>
      </c>
      <c r="G141" s="4">
        <v>19.79</v>
      </c>
      <c r="H141" s="4">
        <v>9605.2000000000007</v>
      </c>
      <c r="I141" s="4">
        <v>1614</v>
      </c>
      <c r="J141" s="4">
        <v>92</v>
      </c>
      <c r="K141" s="10">
        <f t="shared" si="4"/>
        <v>-2.6086956521739191E-2</v>
      </c>
      <c r="L141" s="4">
        <v>346.07998700000002</v>
      </c>
      <c r="M141" s="10">
        <f t="shared" si="5"/>
        <v>1.5516716371120292E-2</v>
      </c>
      <c r="N141" s="11">
        <v>-0.47597679999999998</v>
      </c>
    </row>
    <row r="142" spans="1:14" x14ac:dyDescent="0.2">
      <c r="A142" s="3" t="s">
        <v>148</v>
      </c>
      <c r="B142" s="5">
        <v>1798</v>
      </c>
      <c r="C142" s="5">
        <v>2760.18</v>
      </c>
      <c r="D142" s="5">
        <v>701</v>
      </c>
      <c r="E142" s="5">
        <v>12910</v>
      </c>
      <c r="F142" s="5">
        <v>17.12</v>
      </c>
      <c r="G142" s="5">
        <v>18.600000000000001</v>
      </c>
      <c r="H142" s="5">
        <v>8715.6</v>
      </c>
      <c r="I142" s="5">
        <v>1726</v>
      </c>
      <c r="J142" s="5">
        <v>89.6</v>
      </c>
      <c r="K142" s="10">
        <f t="shared" si="4"/>
        <v>6.9196428571428603E-2</v>
      </c>
      <c r="L142" s="4">
        <v>351.45001200000002</v>
      </c>
      <c r="M142" s="10">
        <f t="shared" si="5"/>
        <v>-6.5443673964080632E-3</v>
      </c>
      <c r="N142" s="11">
        <v>-0.51990619999999999</v>
      </c>
    </row>
    <row r="143" spans="1:14" x14ac:dyDescent="0.2">
      <c r="A143" s="3" t="s">
        <v>149</v>
      </c>
      <c r="B143" s="4">
        <v>1718</v>
      </c>
      <c r="C143" s="4">
        <v>2883.64</v>
      </c>
      <c r="D143" s="4">
        <v>727</v>
      </c>
      <c r="E143" s="4">
        <v>11222</v>
      </c>
      <c r="F143" s="4">
        <v>17.8</v>
      </c>
      <c r="G143" s="4">
        <v>19.57</v>
      </c>
      <c r="H143" s="4">
        <v>8269.7000000000007</v>
      </c>
      <c r="I143" s="4">
        <v>1626</v>
      </c>
      <c r="J143" s="4">
        <v>95.8</v>
      </c>
      <c r="K143" s="10">
        <f t="shared" si="4"/>
        <v>-1.9832985386221205E-2</v>
      </c>
      <c r="L143" s="4">
        <v>349.14999399999999</v>
      </c>
      <c r="M143" s="10">
        <f t="shared" si="5"/>
        <v>-2.5175452244172166E-2</v>
      </c>
      <c r="N143" s="11">
        <v>-0.50847180000000003</v>
      </c>
    </row>
    <row r="144" spans="1:14" x14ac:dyDescent="0.2">
      <c r="A144" s="3" t="s">
        <v>150</v>
      </c>
      <c r="B144" s="5">
        <v>1820</v>
      </c>
      <c r="C144" s="5">
        <v>2859.39</v>
      </c>
      <c r="D144" s="5">
        <v>751</v>
      </c>
      <c r="E144" s="5">
        <v>10425</v>
      </c>
      <c r="F144" s="5">
        <v>19.03</v>
      </c>
      <c r="G144" s="5">
        <v>20.059999999999999</v>
      </c>
      <c r="H144" s="5">
        <v>7922.4</v>
      </c>
      <c r="I144" s="5">
        <v>1583</v>
      </c>
      <c r="J144" s="5">
        <v>93.9</v>
      </c>
      <c r="K144" s="10">
        <f t="shared" si="4"/>
        <v>-3.1948881789137379E-2</v>
      </c>
      <c r="L144" s="4">
        <v>340.35998499999999</v>
      </c>
      <c r="M144" s="10">
        <f t="shared" si="5"/>
        <v>1.6541324621341676E-2</v>
      </c>
      <c r="N144" s="11">
        <v>-0.52875539999999999</v>
      </c>
    </row>
    <row r="145" spans="1:14" x14ac:dyDescent="0.2">
      <c r="A145" s="3" t="s">
        <v>151</v>
      </c>
      <c r="B145" s="4">
        <v>1736</v>
      </c>
      <c r="C145" s="4">
        <v>2590.4299999999998</v>
      </c>
      <c r="D145" s="4">
        <v>692</v>
      </c>
      <c r="E145" s="4">
        <v>9793</v>
      </c>
      <c r="F145" s="4">
        <v>19.21</v>
      </c>
      <c r="G145" s="4">
        <v>19.899999999999999</v>
      </c>
      <c r="H145" s="4">
        <v>6837.3</v>
      </c>
      <c r="I145" s="4">
        <v>1435</v>
      </c>
      <c r="J145" s="4">
        <v>90.9</v>
      </c>
      <c r="K145" s="10">
        <f t="shared" si="4"/>
        <v>-4.4004400440044627E-3</v>
      </c>
      <c r="L145" s="4">
        <v>345.98998999999998</v>
      </c>
      <c r="M145" s="10">
        <f t="shared" si="5"/>
        <v>2.1416816133900334E-2</v>
      </c>
      <c r="N145" s="11">
        <v>-0.4829406</v>
      </c>
    </row>
    <row r="146" spans="1:14" x14ac:dyDescent="0.2">
      <c r="A146" s="3" t="s">
        <v>152</v>
      </c>
      <c r="B146" s="5">
        <v>1633</v>
      </c>
      <c r="C146" s="5">
        <v>2418.4699999999998</v>
      </c>
      <c r="D146" s="5">
        <v>710</v>
      </c>
      <c r="E146" s="5">
        <v>8809</v>
      </c>
      <c r="F146" s="5">
        <v>19.850000000000001</v>
      </c>
      <c r="G146" s="5">
        <v>21.13</v>
      </c>
      <c r="H146" s="5">
        <v>6744.1</v>
      </c>
      <c r="I146" s="5">
        <v>1450</v>
      </c>
      <c r="J146" s="5">
        <v>90.5</v>
      </c>
      <c r="K146" s="10">
        <f t="shared" si="4"/>
        <v>2.7624309392265192E-2</v>
      </c>
      <c r="L146" s="4">
        <v>353.39999399999999</v>
      </c>
      <c r="M146" s="10">
        <f t="shared" si="5"/>
        <v>-6.8817225277032615E-2</v>
      </c>
      <c r="N146" s="11">
        <v>-0.3360612</v>
      </c>
    </row>
    <row r="147" spans="1:14" x14ac:dyDescent="0.2">
      <c r="A147" s="3" t="s">
        <v>153</v>
      </c>
      <c r="B147" s="4">
        <v>1528</v>
      </c>
      <c r="C147" s="4">
        <v>2365.56</v>
      </c>
      <c r="D147" s="4">
        <v>707</v>
      </c>
      <c r="E147" s="4">
        <v>7056</v>
      </c>
      <c r="F147" s="4">
        <v>21.25</v>
      </c>
      <c r="G147" s="4">
        <v>22.96</v>
      </c>
      <c r="H147" s="4">
        <v>6592</v>
      </c>
      <c r="I147" s="4">
        <v>1294</v>
      </c>
      <c r="J147" s="4">
        <v>93</v>
      </c>
      <c r="K147" s="10">
        <f t="shared" si="4"/>
        <v>-3.7634408602150539E-2</v>
      </c>
      <c r="L147" s="4">
        <v>329.07998700000002</v>
      </c>
      <c r="M147" s="10">
        <f t="shared" si="5"/>
        <v>8.5390425155206662E-3</v>
      </c>
      <c r="N147" s="11">
        <v>-0.3043285</v>
      </c>
    </row>
    <row r="148" spans="1:14" x14ac:dyDescent="0.2">
      <c r="A148" s="3" t="s">
        <v>154</v>
      </c>
      <c r="B148" s="5">
        <v>1454</v>
      </c>
      <c r="C148" s="5">
        <v>2358.94</v>
      </c>
      <c r="D148" s="5">
        <v>779</v>
      </c>
      <c r="E148" s="5">
        <v>6977</v>
      </c>
      <c r="F148" s="5">
        <v>19.93</v>
      </c>
      <c r="G148" s="5">
        <v>22.12</v>
      </c>
      <c r="H148" s="5">
        <v>6156.1</v>
      </c>
      <c r="I148" s="5">
        <v>1394</v>
      </c>
      <c r="J148" s="5">
        <v>89.5</v>
      </c>
      <c r="K148" s="10">
        <f t="shared" si="4"/>
        <v>2.0111731843575387E-2</v>
      </c>
      <c r="L148" s="4">
        <v>331.89001500000001</v>
      </c>
      <c r="M148" s="10">
        <f t="shared" si="5"/>
        <v>2.4254983989198915E-2</v>
      </c>
      <c r="N148" s="11">
        <v>-0.27807999999999999</v>
      </c>
    </row>
    <row r="149" spans="1:14" x14ac:dyDescent="0.2">
      <c r="A149" s="3" t="s">
        <v>155</v>
      </c>
      <c r="B149" s="4">
        <v>1567</v>
      </c>
      <c r="C149" s="4">
        <v>2625.7</v>
      </c>
      <c r="D149" s="4">
        <v>1059</v>
      </c>
      <c r="E149" s="4">
        <v>9267</v>
      </c>
      <c r="F149" s="4">
        <v>18.37</v>
      </c>
      <c r="G149" s="4">
        <v>20.41</v>
      </c>
      <c r="H149" s="4">
        <v>6270.5</v>
      </c>
      <c r="I149" s="4">
        <v>1666</v>
      </c>
      <c r="J149" s="4">
        <v>91.3</v>
      </c>
      <c r="K149" s="10">
        <f t="shared" si="4"/>
        <v>2.8477546549835801E-2</v>
      </c>
      <c r="L149" s="4">
        <v>339.94000199999999</v>
      </c>
      <c r="M149" s="10">
        <f t="shared" si="5"/>
        <v>-2.6887138748678385E-2</v>
      </c>
      <c r="N149" s="11">
        <v>-0.2403738</v>
      </c>
    </row>
    <row r="150" spans="1:14" x14ac:dyDescent="0.2">
      <c r="A150" s="3" t="s">
        <v>156</v>
      </c>
      <c r="B150" s="5">
        <v>1526</v>
      </c>
      <c r="C150" s="5">
        <v>2685.23</v>
      </c>
      <c r="D150" s="5">
        <v>835</v>
      </c>
      <c r="E150" s="5">
        <v>8939</v>
      </c>
      <c r="F150" s="5">
        <v>16.489999999999998</v>
      </c>
      <c r="G150" s="5">
        <v>18.43</v>
      </c>
      <c r="H150" s="5">
        <v>6390.9</v>
      </c>
      <c r="I150" s="5">
        <v>1686</v>
      </c>
      <c r="J150" s="5">
        <v>93.9</v>
      </c>
      <c r="K150" s="10">
        <f t="shared" si="4"/>
        <v>-3.5143769968051235E-2</v>
      </c>
      <c r="L150" s="4">
        <v>330.79998799999998</v>
      </c>
      <c r="M150" s="10">
        <f t="shared" si="5"/>
        <v>9.1989190156802569E-2</v>
      </c>
      <c r="N150" s="11">
        <v>-4.4683800000000003E-2</v>
      </c>
    </row>
    <row r="151" spans="1:14" x14ac:dyDescent="0.2">
      <c r="A151" s="3" t="s">
        <v>157</v>
      </c>
      <c r="B151" s="4">
        <v>1527</v>
      </c>
      <c r="C151" s="4">
        <v>2740.34</v>
      </c>
      <c r="D151" s="4">
        <v>825</v>
      </c>
      <c r="E151" s="4">
        <v>8698</v>
      </c>
      <c r="F151" s="4">
        <v>16.34</v>
      </c>
      <c r="G151" s="4">
        <v>18.25</v>
      </c>
      <c r="H151" s="4">
        <v>6324.6</v>
      </c>
      <c r="I151" s="4">
        <v>1775</v>
      </c>
      <c r="J151" s="4">
        <v>90.6</v>
      </c>
      <c r="K151" s="10">
        <f t="shared" si="4"/>
        <v>-2.5386313465783635E-2</v>
      </c>
      <c r="L151" s="4">
        <v>361.23001099999999</v>
      </c>
      <c r="M151" s="10">
        <f t="shared" si="5"/>
        <v>-8.8863657565815615E-3</v>
      </c>
      <c r="N151" s="11">
        <v>-0.11754009999999999</v>
      </c>
    </row>
    <row r="152" spans="1:14" x14ac:dyDescent="0.2">
      <c r="A152" s="3" t="s">
        <v>158</v>
      </c>
      <c r="B152" s="5">
        <v>1566</v>
      </c>
      <c r="C152" s="5">
        <v>2583.81</v>
      </c>
      <c r="D152" s="5">
        <v>837</v>
      </c>
      <c r="E152" s="5">
        <v>8422</v>
      </c>
      <c r="F152" s="5">
        <v>15.05</v>
      </c>
      <c r="G152" s="5">
        <v>16.690000000000001</v>
      </c>
      <c r="H152" s="5">
        <v>6096</v>
      </c>
      <c r="I152" s="5">
        <v>1715</v>
      </c>
      <c r="J152" s="5">
        <v>88.3</v>
      </c>
      <c r="K152" s="10">
        <f t="shared" si="4"/>
        <v>-1.1325028312570138E-3</v>
      </c>
      <c r="L152" s="4">
        <v>358.01998900000001</v>
      </c>
      <c r="M152" s="10">
        <f t="shared" si="5"/>
        <v>-5.2231580846174965E-3</v>
      </c>
      <c r="N152" s="11">
        <v>-0.1147797</v>
      </c>
    </row>
    <row r="153" spans="1:14" x14ac:dyDescent="0.2">
      <c r="A153" s="3" t="s">
        <v>159</v>
      </c>
      <c r="B153" s="4">
        <v>1571</v>
      </c>
      <c r="C153" s="4">
        <v>2769</v>
      </c>
      <c r="D153" s="4">
        <v>875</v>
      </c>
      <c r="E153" s="4">
        <v>9318</v>
      </c>
      <c r="F153" s="4">
        <v>17.14</v>
      </c>
      <c r="G153" s="4">
        <v>18.420000000000002</v>
      </c>
      <c r="H153" s="4">
        <v>5924.4</v>
      </c>
      <c r="I153" s="4">
        <v>1637</v>
      </c>
      <c r="J153" s="4">
        <v>88.2</v>
      </c>
      <c r="K153" s="10">
        <f t="shared" si="4"/>
        <v>-0.13378684807256233</v>
      </c>
      <c r="L153" s="4">
        <v>356.14999399999999</v>
      </c>
      <c r="M153" s="10">
        <f t="shared" si="5"/>
        <v>-9.43141838154853E-2</v>
      </c>
      <c r="N153" s="11">
        <v>-0.18579699999999999</v>
      </c>
    </row>
    <row r="154" spans="1:14" x14ac:dyDescent="0.2">
      <c r="A154" s="3" t="s">
        <v>160</v>
      </c>
      <c r="B154" s="5">
        <v>1782</v>
      </c>
      <c r="C154" s="5">
        <v>2956.4</v>
      </c>
      <c r="D154" s="5">
        <v>875</v>
      </c>
      <c r="E154" s="5">
        <v>10957</v>
      </c>
      <c r="F154" s="5">
        <v>27.32</v>
      </c>
      <c r="G154" s="5">
        <v>27.23</v>
      </c>
      <c r="H154" s="5">
        <v>5905.2</v>
      </c>
      <c r="I154" s="5">
        <v>1615</v>
      </c>
      <c r="J154" s="5">
        <v>76.400000000000006</v>
      </c>
      <c r="K154" s="10">
        <f t="shared" si="4"/>
        <v>-4.7120418848167644E-2</v>
      </c>
      <c r="L154" s="4">
        <v>322.55999800000001</v>
      </c>
      <c r="M154" s="10">
        <f t="shared" si="5"/>
        <v>-5.1184307112998005E-2</v>
      </c>
      <c r="N154" s="11">
        <v>-7.4734900000000007E-2</v>
      </c>
    </row>
    <row r="155" spans="1:14" x14ac:dyDescent="0.2">
      <c r="A155" s="3" t="s">
        <v>161</v>
      </c>
      <c r="B155" s="4">
        <v>2067</v>
      </c>
      <c r="C155" s="4">
        <v>3040.17</v>
      </c>
      <c r="D155" s="4">
        <v>838</v>
      </c>
      <c r="E155" s="4">
        <v>10844</v>
      </c>
      <c r="F155" s="4">
        <v>35.03</v>
      </c>
      <c r="G155" s="4">
        <v>33.799999999999997</v>
      </c>
      <c r="H155" s="4">
        <v>5707</v>
      </c>
      <c r="I155" s="4">
        <v>1537</v>
      </c>
      <c r="J155" s="4">
        <v>72.8</v>
      </c>
      <c r="K155" s="10">
        <f t="shared" si="4"/>
        <v>-0.12225274725274723</v>
      </c>
      <c r="L155" s="4">
        <v>306.04998799999998</v>
      </c>
      <c r="M155" s="10">
        <f t="shared" si="5"/>
        <v>-6.6982129729735032E-3</v>
      </c>
      <c r="N155" s="11">
        <v>-6.6075200000000001E-2</v>
      </c>
    </row>
    <row r="156" spans="1:14" x14ac:dyDescent="0.2">
      <c r="A156" s="3" t="s">
        <v>162</v>
      </c>
      <c r="B156" s="5">
        <v>1946</v>
      </c>
      <c r="C156" s="5">
        <v>2742.55</v>
      </c>
      <c r="D156" s="5">
        <v>760</v>
      </c>
      <c r="E156" s="5">
        <v>9145</v>
      </c>
      <c r="F156" s="5">
        <v>36.090000000000003</v>
      </c>
      <c r="G156" s="5">
        <v>36.130000000000003</v>
      </c>
      <c r="H156" s="5">
        <v>6061.4</v>
      </c>
      <c r="I156" s="5">
        <v>1353</v>
      </c>
      <c r="J156" s="5">
        <v>63.9</v>
      </c>
      <c r="K156" s="10">
        <f t="shared" si="4"/>
        <v>3.2863849765258239E-2</v>
      </c>
      <c r="L156" s="4">
        <v>304</v>
      </c>
      <c r="M156" s="10">
        <f t="shared" si="5"/>
        <v>5.9934213815789554E-2</v>
      </c>
      <c r="N156" s="11">
        <v>-7.4510300000000002E-2</v>
      </c>
    </row>
    <row r="157" spans="1:14" x14ac:dyDescent="0.2">
      <c r="A157" s="3" t="s">
        <v>163</v>
      </c>
      <c r="B157" s="4">
        <v>1618</v>
      </c>
      <c r="C157" s="4">
        <v>2583.81</v>
      </c>
      <c r="D157" s="4">
        <v>700</v>
      </c>
      <c r="E157" s="4">
        <v>8587</v>
      </c>
      <c r="F157" s="4">
        <v>33.200000000000003</v>
      </c>
      <c r="G157" s="4">
        <v>32.44</v>
      </c>
      <c r="H157" s="4">
        <v>5981.3</v>
      </c>
      <c r="I157" s="4">
        <v>1278</v>
      </c>
      <c r="J157" s="4">
        <v>66</v>
      </c>
      <c r="K157" s="10">
        <f t="shared" si="4"/>
        <v>-7.575757575757576E-3</v>
      </c>
      <c r="L157" s="4">
        <v>322.22000100000002</v>
      </c>
      <c r="M157" s="10">
        <f t="shared" si="5"/>
        <v>2.4827757355757686E-2</v>
      </c>
      <c r="N157" s="11">
        <v>-0.17588619999999999</v>
      </c>
    </row>
    <row r="158" spans="1:14" x14ac:dyDescent="0.2">
      <c r="A158" s="3" t="s">
        <v>164</v>
      </c>
      <c r="B158" s="5">
        <v>1522</v>
      </c>
      <c r="C158" s="5">
        <v>2484.61</v>
      </c>
      <c r="D158" s="5">
        <v>624</v>
      </c>
      <c r="E158" s="5">
        <v>8158</v>
      </c>
      <c r="F158" s="5">
        <v>28.32</v>
      </c>
      <c r="G158" s="5">
        <v>27.33</v>
      </c>
      <c r="H158" s="5">
        <v>5615.2</v>
      </c>
      <c r="I158" s="5">
        <v>1265</v>
      </c>
      <c r="J158" s="5">
        <v>65.5</v>
      </c>
      <c r="K158" s="10">
        <f t="shared" si="4"/>
        <v>1.9847328244274764E-2</v>
      </c>
      <c r="L158" s="4">
        <v>330.22000100000002</v>
      </c>
      <c r="M158" s="10">
        <f t="shared" si="5"/>
        <v>4.1517751676101528E-2</v>
      </c>
      <c r="N158" s="11">
        <v>-0.20216319999999999</v>
      </c>
    </row>
    <row r="159" spans="1:14" x14ac:dyDescent="0.2">
      <c r="A159" s="3" t="s">
        <v>165</v>
      </c>
      <c r="B159" s="4">
        <v>1515</v>
      </c>
      <c r="C159" s="4">
        <v>2447.13</v>
      </c>
      <c r="D159" s="4">
        <v>600</v>
      </c>
      <c r="E159" s="4">
        <v>8569</v>
      </c>
      <c r="F159" s="4">
        <v>23.54</v>
      </c>
      <c r="G159" s="4">
        <v>25.2</v>
      </c>
      <c r="H159" s="4">
        <v>5610.76</v>
      </c>
      <c r="I159" s="4">
        <v>1206</v>
      </c>
      <c r="J159" s="4">
        <v>66.8</v>
      </c>
      <c r="K159" s="10">
        <f t="shared" si="4"/>
        <v>5.3892215568862409E-2</v>
      </c>
      <c r="L159" s="4">
        <v>343.92999300000002</v>
      </c>
      <c r="M159" s="10">
        <f t="shared" si="5"/>
        <v>6.7281174863978638E-2</v>
      </c>
      <c r="N159" s="11">
        <v>-0.24032139999999999</v>
      </c>
    </row>
    <row r="160" spans="1:14" x14ac:dyDescent="0.2">
      <c r="A160" s="3" t="s">
        <v>166</v>
      </c>
      <c r="B160" s="5">
        <v>1505</v>
      </c>
      <c r="C160" s="5">
        <v>2447.13</v>
      </c>
      <c r="D160" s="5">
        <v>593</v>
      </c>
      <c r="E160" s="5">
        <v>8672</v>
      </c>
      <c r="F160" s="5">
        <v>19.579999999999998</v>
      </c>
      <c r="G160" s="5">
        <v>20.5</v>
      </c>
      <c r="H160" s="5">
        <v>5582.1</v>
      </c>
      <c r="I160" s="5">
        <v>1188</v>
      </c>
      <c r="J160" s="5">
        <v>70.400000000000006</v>
      </c>
      <c r="K160" s="10">
        <f t="shared" si="4"/>
        <v>0.2457386363636363</v>
      </c>
      <c r="L160" s="4">
        <v>367.07000699999998</v>
      </c>
      <c r="M160" s="10">
        <f t="shared" si="5"/>
        <v>2.2202832823658213E-2</v>
      </c>
      <c r="N160" s="11">
        <v>-0.16644880000000001</v>
      </c>
    </row>
    <row r="161" spans="1:14" x14ac:dyDescent="0.2">
      <c r="A161" s="3" t="s">
        <v>167</v>
      </c>
      <c r="B161" s="4">
        <v>1496</v>
      </c>
      <c r="C161" s="4">
        <v>2409.65</v>
      </c>
      <c r="D161" s="4">
        <v>602</v>
      </c>
      <c r="E161" s="4">
        <v>8700</v>
      </c>
      <c r="F161" s="4">
        <v>19.13</v>
      </c>
      <c r="G161" s="4">
        <v>19.87</v>
      </c>
      <c r="H161" s="4">
        <v>5515.96</v>
      </c>
      <c r="I161" s="4">
        <v>1199</v>
      </c>
      <c r="J161" s="4">
        <v>87.7</v>
      </c>
      <c r="K161" s="10">
        <f t="shared" si="4"/>
        <v>-6.7274800456100403E-2</v>
      </c>
      <c r="L161" s="4">
        <v>375.22000100000002</v>
      </c>
      <c r="M161" s="10">
        <f t="shared" si="5"/>
        <v>3.1979905037087913E-4</v>
      </c>
      <c r="N161" s="11">
        <v>-0.21199029999999999</v>
      </c>
    </row>
    <row r="162" spans="1:14" x14ac:dyDescent="0.2">
      <c r="A162" s="3" t="s">
        <v>168</v>
      </c>
      <c r="B162" s="5">
        <v>1392</v>
      </c>
      <c r="C162" s="5">
        <v>2471.38</v>
      </c>
      <c r="D162" s="5">
        <v>600</v>
      </c>
      <c r="E162" s="5">
        <v>9023</v>
      </c>
      <c r="F162" s="5">
        <v>19.13</v>
      </c>
      <c r="G162" s="5">
        <v>20.77</v>
      </c>
      <c r="H162" s="5">
        <v>5557.85</v>
      </c>
      <c r="I162" s="5">
        <v>1254</v>
      </c>
      <c r="J162" s="5">
        <v>81.8</v>
      </c>
      <c r="K162" s="10">
        <f t="shared" si="4"/>
        <v>-4.2787286063569685E-2</v>
      </c>
      <c r="L162" s="4">
        <v>375.33999599999999</v>
      </c>
      <c r="M162" s="10">
        <f t="shared" si="5"/>
        <v>3.8604974568177998E-2</v>
      </c>
      <c r="N162" s="11">
        <v>-0.19337389999999999</v>
      </c>
    </row>
    <row r="163" spans="1:14" x14ac:dyDescent="0.2">
      <c r="A163" s="3" t="s">
        <v>169</v>
      </c>
      <c r="B163" s="4">
        <v>1299.9000000000001</v>
      </c>
      <c r="C163" s="4">
        <v>2340.42</v>
      </c>
      <c r="D163" s="4">
        <v>559.82000000000005</v>
      </c>
      <c r="E163" s="4">
        <v>8499.61</v>
      </c>
      <c r="F163" s="4">
        <v>19.16</v>
      </c>
      <c r="G163" s="4">
        <v>21.24</v>
      </c>
      <c r="H163" s="4">
        <v>5698.72</v>
      </c>
      <c r="I163" s="4">
        <v>1127.74</v>
      </c>
      <c r="J163" s="4">
        <v>78.3</v>
      </c>
      <c r="K163" s="10">
        <f t="shared" si="4"/>
        <v>4.8531289910600219E-2</v>
      </c>
      <c r="L163" s="4">
        <v>389.82998700000002</v>
      </c>
      <c r="M163" s="10">
        <f t="shared" si="5"/>
        <v>-4.7892629152718316E-2</v>
      </c>
      <c r="N163" s="11">
        <v>-9.1012099999999999E-2</v>
      </c>
    </row>
    <row r="164" spans="1:14" x14ac:dyDescent="0.2">
      <c r="A164" s="3" t="s">
        <v>170</v>
      </c>
      <c r="B164" s="5">
        <v>1283.5999999999999</v>
      </c>
      <c r="C164" s="5">
        <v>2218.0700000000002</v>
      </c>
      <c r="D164" s="5">
        <v>549.44000000000005</v>
      </c>
      <c r="E164" s="5">
        <v>8296.5</v>
      </c>
      <c r="F164" s="5">
        <v>18.079999999999998</v>
      </c>
      <c r="G164" s="5">
        <v>20.21</v>
      </c>
      <c r="H164" s="5">
        <v>5709.3</v>
      </c>
      <c r="I164" s="5">
        <v>1067.45</v>
      </c>
      <c r="J164" s="5">
        <v>82.1</v>
      </c>
      <c r="K164" s="10">
        <f t="shared" si="4"/>
        <v>9.7442143727163397E-3</v>
      </c>
      <c r="L164" s="4">
        <v>371.16000400000001</v>
      </c>
      <c r="M164" s="10">
        <f t="shared" si="5"/>
        <v>4.4859343195825574E-2</v>
      </c>
      <c r="N164" s="11">
        <v>-1.16452E-2</v>
      </c>
    </row>
    <row r="165" spans="1:14" x14ac:dyDescent="0.2">
      <c r="A165" s="3" t="s">
        <v>171</v>
      </c>
      <c r="B165" s="4">
        <v>1297.5</v>
      </c>
      <c r="C165" s="4">
        <v>2231.2600000000002</v>
      </c>
      <c r="D165" s="4">
        <v>549.59</v>
      </c>
      <c r="E165" s="4">
        <v>8515.2000000000007</v>
      </c>
      <c r="F165" s="4">
        <v>19.420000000000002</v>
      </c>
      <c r="G165" s="4">
        <v>21.52</v>
      </c>
      <c r="H165" s="4">
        <v>5673.6</v>
      </c>
      <c r="I165" s="4">
        <v>1063.4100000000001</v>
      </c>
      <c r="J165" s="4">
        <v>82.9</v>
      </c>
      <c r="K165" s="10">
        <f t="shared" si="4"/>
        <v>-1.085645355850429E-2</v>
      </c>
      <c r="L165" s="4">
        <v>387.80999800000001</v>
      </c>
      <c r="M165" s="10">
        <f t="shared" si="5"/>
        <v>1.9648784299779752E-2</v>
      </c>
      <c r="N165" s="11">
        <v>-0.14512130000000001</v>
      </c>
    </row>
    <row r="166" spans="1:14" x14ac:dyDescent="0.2">
      <c r="A166" s="3" t="s">
        <v>172</v>
      </c>
      <c r="B166" s="5">
        <v>1259.7</v>
      </c>
      <c r="C166" s="5">
        <v>2236.19</v>
      </c>
      <c r="D166" s="5">
        <v>541</v>
      </c>
      <c r="E166" s="5">
        <v>8154.75</v>
      </c>
      <c r="F166" s="5">
        <v>19.73</v>
      </c>
      <c r="G166" s="5">
        <v>21.7</v>
      </c>
      <c r="H166" s="5">
        <v>5647.72</v>
      </c>
      <c r="I166" s="5">
        <v>1047.74</v>
      </c>
      <c r="J166" s="5">
        <v>82</v>
      </c>
      <c r="K166" s="10">
        <f t="shared" si="4"/>
        <v>1.2195121951219513E-2</v>
      </c>
      <c r="L166" s="4">
        <v>395.42999300000002</v>
      </c>
      <c r="M166" s="10">
        <f t="shared" si="5"/>
        <v>-1.9143737536368489E-2</v>
      </c>
      <c r="N166" s="11">
        <v>-0.24029519999999999</v>
      </c>
    </row>
    <row r="167" spans="1:14" x14ac:dyDescent="0.2">
      <c r="A167" s="3" t="s">
        <v>173</v>
      </c>
      <c r="B167" s="4">
        <v>1212.0999999999999</v>
      </c>
      <c r="C167" s="4">
        <v>2318.58</v>
      </c>
      <c r="D167" s="4">
        <v>538.95000000000005</v>
      </c>
      <c r="E167" s="4">
        <v>7675.95</v>
      </c>
      <c r="F167" s="4">
        <v>20.48</v>
      </c>
      <c r="G167" s="4">
        <v>21.86</v>
      </c>
      <c r="H167" s="4">
        <v>5575.1</v>
      </c>
      <c r="I167" s="4">
        <v>1025.5999999999999</v>
      </c>
      <c r="J167" s="4">
        <v>83</v>
      </c>
      <c r="K167" s="10">
        <f t="shared" si="4"/>
        <v>-5.6626506024096419E-2</v>
      </c>
      <c r="L167" s="4">
        <v>387.85998499999999</v>
      </c>
      <c r="M167" s="10">
        <f t="shared" si="5"/>
        <v>1.1834237037883711E-2</v>
      </c>
      <c r="N167" s="11">
        <v>-0.20036319999999999</v>
      </c>
    </row>
    <row r="168" spans="1:14" x14ac:dyDescent="0.2">
      <c r="A168" s="3" t="s">
        <v>174</v>
      </c>
      <c r="B168" s="5">
        <v>1153</v>
      </c>
      <c r="C168" s="5">
        <v>2360.65</v>
      </c>
      <c r="D168" s="5">
        <v>522.20000000000005</v>
      </c>
      <c r="E168" s="5">
        <v>7453.86</v>
      </c>
      <c r="F168" s="5">
        <v>22.25</v>
      </c>
      <c r="G168" s="5">
        <v>23.3</v>
      </c>
      <c r="H168" s="5">
        <v>5550.09</v>
      </c>
      <c r="I168" s="5">
        <v>991.65</v>
      </c>
      <c r="J168" s="5">
        <v>78.3</v>
      </c>
      <c r="K168" s="10">
        <f t="shared" si="4"/>
        <v>-0.1174968071519796</v>
      </c>
      <c r="L168" s="4">
        <v>392.45001200000002</v>
      </c>
      <c r="M168" s="10">
        <f t="shared" si="5"/>
        <v>-4.3903708684304973E-2</v>
      </c>
      <c r="N168" s="11">
        <v>-0.1824865</v>
      </c>
    </row>
    <row r="169" spans="1:14" x14ac:dyDescent="0.2">
      <c r="A169" s="3" t="s">
        <v>175</v>
      </c>
      <c r="B169" s="4">
        <v>1134.9000000000001</v>
      </c>
      <c r="C169" s="4">
        <v>2375.66</v>
      </c>
      <c r="D169" s="4">
        <v>506.24</v>
      </c>
      <c r="E169" s="4">
        <v>7258.5</v>
      </c>
      <c r="F169" s="4">
        <v>21</v>
      </c>
      <c r="G169" s="4">
        <v>22.46</v>
      </c>
      <c r="H169" s="4">
        <v>5514.45</v>
      </c>
      <c r="I169" s="4">
        <v>1100.6500000000001</v>
      </c>
      <c r="J169" s="4">
        <v>69.099999999999994</v>
      </c>
      <c r="K169" s="10">
        <f t="shared" si="4"/>
        <v>-1.3024602026049081E-2</v>
      </c>
      <c r="L169" s="4">
        <v>375.22000100000002</v>
      </c>
      <c r="M169" s="10">
        <f t="shared" si="5"/>
        <v>0.11158785482760009</v>
      </c>
      <c r="N169" s="11">
        <v>6.4913999999999996E-3</v>
      </c>
    </row>
    <row r="170" spans="1:14" x14ac:dyDescent="0.2">
      <c r="A170" s="3" t="s">
        <v>176</v>
      </c>
      <c r="B170" s="5">
        <v>1099.5</v>
      </c>
      <c r="C170" s="5">
        <v>2205.92</v>
      </c>
      <c r="D170" s="5">
        <v>531.37</v>
      </c>
      <c r="E170" s="5">
        <v>7140.26</v>
      </c>
      <c r="F170" s="5">
        <v>18.28</v>
      </c>
      <c r="G170" s="5">
        <v>19.510000000000002</v>
      </c>
      <c r="H170" s="5">
        <v>5515.89</v>
      </c>
      <c r="I170" s="5">
        <v>1185.08</v>
      </c>
      <c r="J170" s="5">
        <v>68.2</v>
      </c>
      <c r="K170" s="10">
        <f t="shared" si="4"/>
        <v>-1.026392961876837E-2</v>
      </c>
      <c r="L170" s="4">
        <v>417.08999599999999</v>
      </c>
      <c r="M170" s="10">
        <f t="shared" si="5"/>
        <v>-1.9923750460799857E-2</v>
      </c>
      <c r="N170" s="11">
        <v>0.10521759999999999</v>
      </c>
    </row>
    <row r="171" spans="1:14" x14ac:dyDescent="0.2">
      <c r="A171" s="3" t="s">
        <v>177</v>
      </c>
      <c r="B171" s="4">
        <v>1181.2</v>
      </c>
      <c r="C171" s="4">
        <v>2150.58</v>
      </c>
      <c r="D171" s="4">
        <v>515.66999999999996</v>
      </c>
      <c r="E171" s="4">
        <v>7531.14</v>
      </c>
      <c r="F171" s="4">
        <v>18.55</v>
      </c>
      <c r="G171" s="4">
        <v>18.760000000000002</v>
      </c>
      <c r="H171" s="4">
        <v>5483.09</v>
      </c>
      <c r="I171" s="4">
        <v>1157.6600000000001</v>
      </c>
      <c r="J171" s="4">
        <v>67.5</v>
      </c>
      <c r="K171" s="10">
        <f t="shared" si="4"/>
        <v>1.9259259259259216E-2</v>
      </c>
      <c r="L171" s="4">
        <v>408.77999899999998</v>
      </c>
      <c r="M171" s="10">
        <f t="shared" si="5"/>
        <v>9.5895420754185199E-3</v>
      </c>
      <c r="N171" s="11">
        <v>0.22657969999999999</v>
      </c>
    </row>
    <row r="172" spans="1:14" x14ac:dyDescent="0.2">
      <c r="A172" s="3" t="s">
        <v>178</v>
      </c>
      <c r="B172" s="5">
        <v>1270.8</v>
      </c>
      <c r="C172" s="5">
        <v>2208.89</v>
      </c>
      <c r="D172" s="5">
        <v>505.75</v>
      </c>
      <c r="E172" s="5">
        <v>7888</v>
      </c>
      <c r="F172" s="5">
        <v>18.48</v>
      </c>
      <c r="G172" s="5">
        <v>18.989999999999998</v>
      </c>
      <c r="H172" s="5">
        <v>5612.1</v>
      </c>
      <c r="I172" s="5">
        <v>1135.48</v>
      </c>
      <c r="J172" s="5">
        <v>68.8</v>
      </c>
      <c r="K172" s="10">
        <f t="shared" si="4"/>
        <v>0.10465116279069772</v>
      </c>
      <c r="L172" s="4">
        <v>412.70001200000002</v>
      </c>
      <c r="M172" s="10">
        <f t="shared" si="5"/>
        <v>-2.1831862704186262E-2</v>
      </c>
      <c r="N172" s="11">
        <v>0.38357930000000001</v>
      </c>
    </row>
    <row r="173" spans="1:14" x14ac:dyDescent="0.2">
      <c r="A173" s="3" t="s">
        <v>179</v>
      </c>
      <c r="B173" s="4">
        <v>1282</v>
      </c>
      <c r="C173" s="4">
        <v>2231.79</v>
      </c>
      <c r="D173" s="4">
        <v>523.15</v>
      </c>
      <c r="E173" s="4">
        <v>7430.46</v>
      </c>
      <c r="F173" s="4">
        <v>17.59</v>
      </c>
      <c r="G173" s="4">
        <v>18.920000000000002</v>
      </c>
      <c r="H173" s="4">
        <v>5637.05</v>
      </c>
      <c r="I173" s="4">
        <v>1217.77</v>
      </c>
      <c r="J173" s="4">
        <v>76</v>
      </c>
      <c r="K173" s="10">
        <f t="shared" si="4"/>
        <v>1.5789473684210565E-2</v>
      </c>
      <c r="L173" s="4">
        <v>403.69000199999999</v>
      </c>
      <c r="M173" s="10">
        <f t="shared" si="5"/>
        <v>2.7892714568640772E-2</v>
      </c>
      <c r="N173" s="11">
        <v>0.55238149999999997</v>
      </c>
    </row>
    <row r="174" spans="1:14" x14ac:dyDescent="0.2">
      <c r="A174" s="3" t="s">
        <v>180</v>
      </c>
      <c r="B174" s="5">
        <v>1317.1</v>
      </c>
      <c r="C174" s="5">
        <v>2214.17</v>
      </c>
      <c r="D174" s="5">
        <v>533.26</v>
      </c>
      <c r="E174" s="5">
        <v>7417.95</v>
      </c>
      <c r="F174" s="5">
        <v>19.059999999999999</v>
      </c>
      <c r="G174" s="5">
        <v>20.23</v>
      </c>
      <c r="H174" s="5">
        <v>5836.25</v>
      </c>
      <c r="I174" s="5">
        <v>1304.95</v>
      </c>
      <c r="J174" s="5">
        <v>77.2</v>
      </c>
      <c r="K174" s="10">
        <f t="shared" si="4"/>
        <v>2.5906735751295335E-2</v>
      </c>
      <c r="L174" s="4">
        <v>414.95001200000002</v>
      </c>
      <c r="M174" s="10">
        <f t="shared" si="5"/>
        <v>9.6395707538861905E-4</v>
      </c>
      <c r="N174" s="11">
        <v>0.48144209999999998</v>
      </c>
    </row>
    <row r="175" spans="1:14" x14ac:dyDescent="0.2">
      <c r="A175" s="3" t="s">
        <v>181</v>
      </c>
      <c r="B175" s="4">
        <v>1306.7</v>
      </c>
      <c r="C175" s="4">
        <v>2219.3200000000002</v>
      </c>
      <c r="D175" s="4">
        <v>520.75</v>
      </c>
      <c r="E175" s="4">
        <v>7333.95</v>
      </c>
      <c r="F175" s="4">
        <v>20.03</v>
      </c>
      <c r="G175" s="4">
        <v>20.97</v>
      </c>
      <c r="H175" s="4">
        <v>6113.16</v>
      </c>
      <c r="I175" s="4">
        <v>1377.74</v>
      </c>
      <c r="J175" s="4">
        <v>79.2</v>
      </c>
      <c r="K175" s="10">
        <f t="shared" si="4"/>
        <v>1.5151515151515187E-2</v>
      </c>
      <c r="L175" s="4">
        <v>415.35000600000001</v>
      </c>
      <c r="M175" s="10">
        <f t="shared" si="5"/>
        <v>-1.7358832059340339E-2</v>
      </c>
      <c r="N175" s="11">
        <v>0.47712389999999999</v>
      </c>
    </row>
    <row r="176" spans="1:14" x14ac:dyDescent="0.2">
      <c r="A176" s="3" t="s">
        <v>182</v>
      </c>
      <c r="B176" s="5">
        <v>1275.3</v>
      </c>
      <c r="C176" s="5">
        <v>2296.44</v>
      </c>
      <c r="D176" s="5">
        <v>551.02</v>
      </c>
      <c r="E176" s="5">
        <v>7202.36</v>
      </c>
      <c r="F176" s="5">
        <v>21.28</v>
      </c>
      <c r="G176" s="5">
        <v>22.37</v>
      </c>
      <c r="H176" s="5">
        <v>6632</v>
      </c>
      <c r="I176" s="5">
        <v>1385.41</v>
      </c>
      <c r="J176" s="5">
        <v>80.400000000000006</v>
      </c>
      <c r="K176" s="10">
        <f t="shared" si="4"/>
        <v>-4.726368159203994E-2</v>
      </c>
      <c r="L176" s="4">
        <v>408.14001500000001</v>
      </c>
      <c r="M176" s="10">
        <f t="shared" si="5"/>
        <v>3.9373684053008125E-2</v>
      </c>
      <c r="N176" s="11">
        <v>0.47902319999999998</v>
      </c>
    </row>
    <row r="177" spans="1:14" x14ac:dyDescent="0.2">
      <c r="A177" s="3" t="s">
        <v>183</v>
      </c>
      <c r="B177" s="4">
        <v>1314.3</v>
      </c>
      <c r="C177" s="4">
        <v>2527.29</v>
      </c>
      <c r="D177" s="4">
        <v>633.25</v>
      </c>
      <c r="E177" s="4">
        <v>7516.17</v>
      </c>
      <c r="F177" s="4">
        <v>20.34</v>
      </c>
      <c r="G177" s="4">
        <v>21.77</v>
      </c>
      <c r="H177" s="4">
        <v>6980.5</v>
      </c>
      <c r="I177" s="4">
        <v>1320.41</v>
      </c>
      <c r="J177" s="4">
        <v>76.599999999999994</v>
      </c>
      <c r="K177" s="10">
        <f t="shared" si="4"/>
        <v>-6.5274151436031337E-3</v>
      </c>
      <c r="L177" s="4">
        <v>424.209991</v>
      </c>
      <c r="M177" s="10">
        <f t="shared" si="5"/>
        <v>-2.3997530034600308E-2</v>
      </c>
      <c r="N177" s="11">
        <v>0.46540999999999999</v>
      </c>
    </row>
    <row r="178" spans="1:14" x14ac:dyDescent="0.2">
      <c r="A178" s="3" t="s">
        <v>184</v>
      </c>
      <c r="B178" s="5">
        <v>1305.5999999999999</v>
      </c>
      <c r="C178" s="5">
        <v>2513.4699999999998</v>
      </c>
      <c r="D178" s="5">
        <v>655.28</v>
      </c>
      <c r="E178" s="5">
        <v>7279.75</v>
      </c>
      <c r="F178" s="5">
        <v>19.77</v>
      </c>
      <c r="G178" s="5">
        <v>21.31</v>
      </c>
      <c r="H178" s="5">
        <v>6784.21</v>
      </c>
      <c r="I178" s="5">
        <v>1363.4</v>
      </c>
      <c r="J178" s="5">
        <v>76.099999999999994</v>
      </c>
      <c r="K178" s="10">
        <f t="shared" si="4"/>
        <v>-6.5703022339027601E-3</v>
      </c>
      <c r="L178" s="4">
        <v>414.02999899999998</v>
      </c>
      <c r="M178" s="10">
        <f t="shared" si="5"/>
        <v>9.1055938195435202E-3</v>
      </c>
      <c r="N178" s="11">
        <v>0.55608869999999999</v>
      </c>
    </row>
    <row r="179" spans="1:14" x14ac:dyDescent="0.2">
      <c r="A179" s="3" t="s">
        <v>185</v>
      </c>
      <c r="B179" s="4">
        <v>1270.2</v>
      </c>
      <c r="C179" s="4">
        <v>2419.61</v>
      </c>
      <c r="D179" s="4">
        <v>624.84</v>
      </c>
      <c r="E179" s="4">
        <v>6918.57</v>
      </c>
      <c r="F179" s="4">
        <v>20.309999999999999</v>
      </c>
      <c r="G179" s="4">
        <v>21.9</v>
      </c>
      <c r="H179" s="4">
        <v>6643.33</v>
      </c>
      <c r="I179" s="4">
        <v>1367.12</v>
      </c>
      <c r="J179" s="4">
        <v>75.599999999999994</v>
      </c>
      <c r="K179" s="10">
        <f t="shared" si="4"/>
        <v>-3.0423280423280387E-2</v>
      </c>
      <c r="L179" s="4">
        <v>417.79998799999998</v>
      </c>
      <c r="M179" s="10">
        <f t="shared" si="5"/>
        <v>2.1062829709799793E-3</v>
      </c>
      <c r="N179" s="11">
        <v>0.61554489999999995</v>
      </c>
    </row>
    <row r="180" spans="1:14" x14ac:dyDescent="0.2">
      <c r="A180" s="3" t="s">
        <v>186</v>
      </c>
      <c r="B180" s="5">
        <v>1180.8</v>
      </c>
      <c r="C180" s="5">
        <v>2262.46</v>
      </c>
      <c r="D180" s="5">
        <v>540.45000000000005</v>
      </c>
      <c r="E180" s="5">
        <v>6322.5</v>
      </c>
      <c r="F180" s="5">
        <v>20.260000000000002</v>
      </c>
      <c r="G180" s="5">
        <v>21.69</v>
      </c>
      <c r="H180" s="5">
        <v>6025.91</v>
      </c>
      <c r="I180" s="5">
        <v>1158.3599999999999</v>
      </c>
      <c r="J180" s="5">
        <v>73.3</v>
      </c>
      <c r="K180" s="10">
        <f t="shared" si="4"/>
        <v>0.16371077762619374</v>
      </c>
      <c r="L180" s="4">
        <v>418.67999300000002</v>
      </c>
      <c r="M180" s="10">
        <f t="shared" si="5"/>
        <v>3.0261806658623838E-2</v>
      </c>
      <c r="N180" s="11">
        <v>0.58388709999999999</v>
      </c>
    </row>
    <row r="181" spans="1:14" x14ac:dyDescent="0.2">
      <c r="A181" s="3" t="s">
        <v>187</v>
      </c>
      <c r="B181" s="4">
        <v>1162.2</v>
      </c>
      <c r="C181" s="4">
        <v>2161.79</v>
      </c>
      <c r="D181" s="4">
        <v>462.05</v>
      </c>
      <c r="E181" s="4">
        <v>5593.71</v>
      </c>
      <c r="F181" s="4">
        <v>19.149999999999999</v>
      </c>
      <c r="G181" s="4">
        <v>20.329999999999998</v>
      </c>
      <c r="H181" s="4">
        <v>5735.71</v>
      </c>
      <c r="I181" s="4">
        <v>1052.24</v>
      </c>
      <c r="J181" s="4">
        <v>85.3</v>
      </c>
      <c r="K181" s="10">
        <f t="shared" si="4"/>
        <v>6.6822977725674124E-2</v>
      </c>
      <c r="L181" s="4">
        <v>431.35000600000001</v>
      </c>
      <c r="M181" s="10">
        <f t="shared" si="5"/>
        <v>1.0107766174460178E-2</v>
      </c>
      <c r="N181" s="11">
        <v>0.63002559999999996</v>
      </c>
    </row>
    <row r="182" spans="1:14" x14ac:dyDescent="0.2">
      <c r="A182" s="3" t="s">
        <v>188</v>
      </c>
      <c r="B182" s="5">
        <v>1209</v>
      </c>
      <c r="C182" s="5">
        <v>2211.9499999999998</v>
      </c>
      <c r="D182" s="5">
        <v>456.7</v>
      </c>
      <c r="E182" s="5">
        <v>5751.19</v>
      </c>
      <c r="F182" s="5">
        <v>18.149999999999999</v>
      </c>
      <c r="G182" s="5">
        <v>19.420000000000002</v>
      </c>
      <c r="H182" s="5">
        <v>5765.81</v>
      </c>
      <c r="I182" s="5">
        <v>1061.48</v>
      </c>
      <c r="J182" s="5">
        <v>91</v>
      </c>
      <c r="K182" s="10">
        <f t="shared" si="4"/>
        <v>-1.8681318681318712E-2</v>
      </c>
      <c r="L182" s="4">
        <v>435.709991</v>
      </c>
      <c r="M182" s="10">
        <f t="shared" si="5"/>
        <v>7.0459894503543136E-3</v>
      </c>
      <c r="N182" s="11">
        <v>0.72689040000000005</v>
      </c>
    </row>
    <row r="183" spans="1:14" x14ac:dyDescent="0.2">
      <c r="A183" s="3" t="s">
        <v>189</v>
      </c>
      <c r="B183" s="4">
        <v>1208.0999999999999</v>
      </c>
      <c r="C183" s="4">
        <v>2264.21</v>
      </c>
      <c r="D183" s="4">
        <v>436.9</v>
      </c>
      <c r="E183" s="4">
        <v>5948.1</v>
      </c>
      <c r="F183" s="4">
        <v>17.350000000000001</v>
      </c>
      <c r="G183" s="4">
        <v>19.059999999999999</v>
      </c>
      <c r="H183" s="4">
        <v>5913.1</v>
      </c>
      <c r="I183" s="4">
        <v>1067.57</v>
      </c>
      <c r="J183" s="4">
        <v>89.3</v>
      </c>
      <c r="K183" s="10">
        <f t="shared" si="4"/>
        <v>-3.0235162374020189E-2</v>
      </c>
      <c r="L183" s="4">
        <v>438.77999899999998</v>
      </c>
      <c r="M183" s="10">
        <f t="shared" si="5"/>
        <v>1.0483627354217684E-2</v>
      </c>
      <c r="N183" s="11">
        <v>0.77300930000000001</v>
      </c>
    </row>
    <row r="184" spans="1:14" x14ac:dyDescent="0.2">
      <c r="A184" s="3" t="s">
        <v>190</v>
      </c>
      <c r="B184" s="5">
        <v>1203.2</v>
      </c>
      <c r="C184" s="5">
        <v>2212.1799999999998</v>
      </c>
      <c r="D184" s="5">
        <v>415</v>
      </c>
      <c r="E184" s="5">
        <v>6050.75</v>
      </c>
      <c r="F184" s="5">
        <v>18.48</v>
      </c>
      <c r="G184" s="5">
        <v>20.04</v>
      </c>
      <c r="H184" s="5">
        <v>5792.75</v>
      </c>
      <c r="I184" s="5">
        <v>1073.6300000000001</v>
      </c>
      <c r="J184" s="5">
        <v>86.6</v>
      </c>
      <c r="K184" s="10">
        <f t="shared" si="4"/>
        <v>-8.0831408775980211E-3</v>
      </c>
      <c r="L184" s="4">
        <v>443.38000499999998</v>
      </c>
      <c r="M184" s="10">
        <f t="shared" si="5"/>
        <v>1.869729781792934E-2</v>
      </c>
      <c r="N184" s="11">
        <v>0.83150400000000002</v>
      </c>
    </row>
    <row r="185" spans="1:14" x14ac:dyDescent="0.2">
      <c r="A185" s="3" t="s">
        <v>191</v>
      </c>
      <c r="B185" s="4">
        <v>1150.5</v>
      </c>
      <c r="C185" s="4">
        <v>2152.38</v>
      </c>
      <c r="D185" s="4">
        <v>405.43</v>
      </c>
      <c r="E185" s="4">
        <v>5974.91</v>
      </c>
      <c r="F185" s="4">
        <v>18.75</v>
      </c>
      <c r="G185" s="4">
        <v>20.32</v>
      </c>
      <c r="H185" s="4">
        <v>5666.3</v>
      </c>
      <c r="I185" s="4">
        <v>996.76</v>
      </c>
      <c r="J185" s="4">
        <v>85.9</v>
      </c>
      <c r="K185" s="10">
        <f t="shared" si="4"/>
        <v>-3.492433061699783E-3</v>
      </c>
      <c r="L185" s="4">
        <v>451.67001299999998</v>
      </c>
      <c r="M185" s="10">
        <f t="shared" si="5"/>
        <v>-2.541681021449611E-2</v>
      </c>
      <c r="N185" s="11">
        <v>0.73476680000000005</v>
      </c>
    </row>
    <row r="186" spans="1:14" x14ac:dyDescent="0.2">
      <c r="A186" s="3" t="s">
        <v>192</v>
      </c>
      <c r="B186" s="5">
        <v>1110.3</v>
      </c>
      <c r="C186" s="5">
        <v>1953.62</v>
      </c>
      <c r="D186" s="5">
        <v>422.11</v>
      </c>
      <c r="E186" s="5">
        <v>5987.5</v>
      </c>
      <c r="F186" s="5">
        <v>18.63</v>
      </c>
      <c r="G186" s="5">
        <v>20.260000000000002</v>
      </c>
      <c r="H186" s="5">
        <v>5596.5</v>
      </c>
      <c r="I186" s="5">
        <v>1006</v>
      </c>
      <c r="J186" s="5">
        <v>85.6</v>
      </c>
      <c r="K186" s="10">
        <f t="shared" si="4"/>
        <v>-6.1915887850467262E-2</v>
      </c>
      <c r="L186" s="4">
        <v>440.19000199999999</v>
      </c>
      <c r="M186" s="10">
        <f t="shared" si="5"/>
        <v>2.2717462810525169E-2</v>
      </c>
      <c r="N186" s="11">
        <v>0.39593709999999999</v>
      </c>
    </row>
    <row r="187" spans="1:14" x14ac:dyDescent="0.2">
      <c r="A187" s="3" t="s">
        <v>193</v>
      </c>
      <c r="B187" s="4">
        <v>1125.4000000000001</v>
      </c>
      <c r="C187" s="4">
        <v>1799.35</v>
      </c>
      <c r="D187" s="4">
        <v>407.66</v>
      </c>
      <c r="E187" s="4">
        <v>5777.79</v>
      </c>
      <c r="F187" s="4">
        <v>18.510000000000002</v>
      </c>
      <c r="G187" s="4">
        <v>19.940000000000001</v>
      </c>
      <c r="H187" s="4">
        <v>5505.47</v>
      </c>
      <c r="I187" s="4">
        <v>979.26</v>
      </c>
      <c r="J187" s="4">
        <v>80.3</v>
      </c>
      <c r="K187" s="10">
        <f t="shared" si="4"/>
        <v>1.4943960149439637E-2</v>
      </c>
      <c r="L187" s="4">
        <v>450.19000199999999</v>
      </c>
      <c r="M187" s="10">
        <f t="shared" si="5"/>
        <v>7.5523001063889142E-4</v>
      </c>
      <c r="N187" s="11">
        <v>0.27796670000000001</v>
      </c>
    </row>
    <row r="188" spans="1:14" x14ac:dyDescent="0.2">
      <c r="A188" s="3" t="s">
        <v>194</v>
      </c>
      <c r="B188" s="5">
        <v>1168.0999999999999</v>
      </c>
      <c r="C188" s="5">
        <v>1857.87</v>
      </c>
      <c r="D188" s="5">
        <v>397.06</v>
      </c>
      <c r="E188" s="5">
        <v>5544.32</v>
      </c>
      <c r="F188" s="5">
        <v>17.59</v>
      </c>
      <c r="G188" s="5">
        <v>19.11</v>
      </c>
      <c r="H188" s="5">
        <v>5115.45</v>
      </c>
      <c r="I188" s="5">
        <v>928.23</v>
      </c>
      <c r="J188" s="5">
        <v>81.5</v>
      </c>
      <c r="K188" s="10">
        <f t="shared" si="4"/>
        <v>-5.5214723926380369E-2</v>
      </c>
      <c r="L188" s="4">
        <v>450.52999899999998</v>
      </c>
      <c r="M188" s="10">
        <f t="shared" si="5"/>
        <v>-5.3270459355138139E-3</v>
      </c>
      <c r="N188" s="11">
        <v>0.24312610000000001</v>
      </c>
    </row>
    <row r="189" spans="1:14" x14ac:dyDescent="0.2">
      <c r="A189" s="3" t="s">
        <v>195</v>
      </c>
      <c r="B189" s="4">
        <v>1203.2</v>
      </c>
      <c r="C189" s="4">
        <v>1927.34</v>
      </c>
      <c r="D189" s="4">
        <v>389.64</v>
      </c>
      <c r="E189" s="4">
        <v>5051.18</v>
      </c>
      <c r="F189" s="4">
        <v>16.760000000000002</v>
      </c>
      <c r="G189" s="4">
        <v>17.86</v>
      </c>
      <c r="H189" s="4">
        <v>4978.55</v>
      </c>
      <c r="I189" s="4">
        <v>930.07</v>
      </c>
      <c r="J189" s="4">
        <v>77</v>
      </c>
      <c r="K189" s="10">
        <f t="shared" si="4"/>
        <v>3.8961038961038592E-3</v>
      </c>
      <c r="L189" s="4">
        <v>448.13000499999998</v>
      </c>
      <c r="M189" s="10">
        <f t="shared" si="5"/>
        <v>3.4431956860375874E-2</v>
      </c>
      <c r="N189" s="11">
        <v>0.28160469999999999</v>
      </c>
    </row>
    <row r="190" spans="1:14" x14ac:dyDescent="0.2">
      <c r="A190" s="3" t="s">
        <v>196</v>
      </c>
      <c r="B190" s="5">
        <v>1172.8</v>
      </c>
      <c r="C190" s="5">
        <v>1951.07</v>
      </c>
      <c r="D190" s="5">
        <v>389.88</v>
      </c>
      <c r="E190" s="5">
        <v>4740.4799999999996</v>
      </c>
      <c r="F190" s="5">
        <v>16.71</v>
      </c>
      <c r="G190" s="5">
        <v>18.010000000000002</v>
      </c>
      <c r="H190" s="5">
        <v>4819</v>
      </c>
      <c r="I190" s="5">
        <v>886.83</v>
      </c>
      <c r="J190" s="5">
        <v>77.3</v>
      </c>
      <c r="K190" s="10">
        <f t="shared" si="4"/>
        <v>7.7619663648125295E-3</v>
      </c>
      <c r="L190" s="4">
        <v>463.55999800000001</v>
      </c>
      <c r="M190" s="10">
        <f t="shared" si="5"/>
        <v>-9.9879304080935441E-3</v>
      </c>
      <c r="N190" s="11">
        <v>0.2211069</v>
      </c>
    </row>
    <row r="191" spans="1:14" x14ac:dyDescent="0.2">
      <c r="A191" s="3" t="s">
        <v>197</v>
      </c>
      <c r="B191" s="4">
        <v>1116.9000000000001</v>
      </c>
      <c r="C191" s="4">
        <v>1858.25</v>
      </c>
      <c r="D191" s="4">
        <v>376.34</v>
      </c>
      <c r="E191" s="4">
        <v>4376.05</v>
      </c>
      <c r="F191" s="4">
        <v>15.99</v>
      </c>
      <c r="G191" s="4">
        <v>17.510000000000002</v>
      </c>
      <c r="H191" s="4">
        <v>4510.68</v>
      </c>
      <c r="I191" s="4">
        <v>875.73</v>
      </c>
      <c r="J191" s="4">
        <v>77.900000000000006</v>
      </c>
      <c r="K191" s="10">
        <f t="shared" si="4"/>
        <v>6.1617458279845917E-2</v>
      </c>
      <c r="L191" s="4">
        <v>458.92999300000002</v>
      </c>
      <c r="M191" s="10">
        <f t="shared" si="5"/>
        <v>1.9392922963742735E-2</v>
      </c>
      <c r="N191" s="11">
        <v>0.27642729999999999</v>
      </c>
    </row>
    <row r="192" spans="1:14" x14ac:dyDescent="0.2">
      <c r="A192" s="3" t="s">
        <v>198</v>
      </c>
      <c r="B192" s="5">
        <v>1089.4000000000001</v>
      </c>
      <c r="C192" s="5">
        <v>1647</v>
      </c>
      <c r="D192" s="5">
        <v>386.07</v>
      </c>
      <c r="E192" s="5">
        <v>4464.8599999999997</v>
      </c>
      <c r="F192" s="5">
        <v>16.559999999999999</v>
      </c>
      <c r="G192" s="5">
        <v>18.16</v>
      </c>
      <c r="H192" s="5">
        <v>4687.24</v>
      </c>
      <c r="I192" s="5">
        <v>918.57</v>
      </c>
      <c r="J192" s="5">
        <v>82.7</v>
      </c>
      <c r="K192" s="10">
        <f t="shared" si="4"/>
        <v>-1.8137847642079805E-2</v>
      </c>
      <c r="L192" s="4">
        <v>467.82998700000002</v>
      </c>
      <c r="M192" s="10">
        <f t="shared" si="5"/>
        <v>-1.291062601337699E-2</v>
      </c>
      <c r="N192" s="11">
        <v>0.43226759999999997</v>
      </c>
    </row>
    <row r="193" spans="1:14" x14ac:dyDescent="0.2">
      <c r="A193" s="3" t="s">
        <v>199</v>
      </c>
      <c r="B193" s="4">
        <v>1040</v>
      </c>
      <c r="C193" s="4">
        <v>1632.57</v>
      </c>
      <c r="D193" s="4">
        <v>401.64</v>
      </c>
      <c r="E193" s="4">
        <v>4642.2700000000004</v>
      </c>
      <c r="F193" s="4">
        <v>15.08</v>
      </c>
      <c r="G193" s="4">
        <v>16.68</v>
      </c>
      <c r="H193" s="4">
        <v>4643.82</v>
      </c>
      <c r="I193" s="4">
        <v>929.39</v>
      </c>
      <c r="J193" s="4">
        <v>81.2</v>
      </c>
      <c r="K193" s="10">
        <f t="shared" si="4"/>
        <v>8.620689655172413E-2</v>
      </c>
      <c r="L193" s="4">
        <v>461.790009</v>
      </c>
      <c r="M193" s="10">
        <f t="shared" si="5"/>
        <v>1.009117328045098E-2</v>
      </c>
      <c r="N193" s="11">
        <v>0.58400450000000004</v>
      </c>
    </row>
    <row r="194" spans="1:14" x14ac:dyDescent="0.2">
      <c r="A194" s="3" t="s">
        <v>200</v>
      </c>
      <c r="B194" s="5">
        <v>1091.3</v>
      </c>
      <c r="C194" s="5">
        <v>1723.63</v>
      </c>
      <c r="D194" s="5">
        <v>460.38</v>
      </c>
      <c r="E194" s="5">
        <v>5139.8</v>
      </c>
      <c r="F194" s="5">
        <v>13.56</v>
      </c>
      <c r="G194" s="5">
        <v>14.51</v>
      </c>
      <c r="H194" s="5">
        <v>4781.7</v>
      </c>
      <c r="I194" s="5">
        <v>975.53</v>
      </c>
      <c r="J194" s="5">
        <v>88.2</v>
      </c>
      <c r="K194" s="10">
        <f t="shared" si="4"/>
        <v>6.9160997732426233E-2</v>
      </c>
      <c r="L194" s="4">
        <v>466.45001200000002</v>
      </c>
      <c r="M194" s="10">
        <f t="shared" si="5"/>
        <v>3.2500745224549335E-2</v>
      </c>
      <c r="N194" s="11">
        <v>0.62315140000000002</v>
      </c>
    </row>
    <row r="195" spans="1:14" x14ac:dyDescent="0.2">
      <c r="A195" s="3" t="s">
        <v>201</v>
      </c>
      <c r="B195" s="4">
        <v>1170</v>
      </c>
      <c r="C195" s="4">
        <v>1807.07</v>
      </c>
      <c r="D195" s="4">
        <v>491.4</v>
      </c>
      <c r="E195" s="4">
        <v>5584.05</v>
      </c>
      <c r="F195" s="4">
        <v>14.22</v>
      </c>
      <c r="G195" s="4">
        <v>15.01</v>
      </c>
      <c r="H195" s="4">
        <v>4950.71</v>
      </c>
      <c r="I195" s="4">
        <v>998.6</v>
      </c>
      <c r="J195" s="4">
        <v>94.3</v>
      </c>
      <c r="K195" s="10">
        <f t="shared" si="4"/>
        <v>-1.1664899257688169E-2</v>
      </c>
      <c r="L195" s="4">
        <v>481.60998499999999</v>
      </c>
      <c r="M195" s="10">
        <f t="shared" si="5"/>
        <v>-3.0044995848663707E-2</v>
      </c>
      <c r="N195" s="11">
        <v>0.65178159999999996</v>
      </c>
    </row>
    <row r="196" spans="1:14" x14ac:dyDescent="0.2">
      <c r="A196" s="3" t="s">
        <v>202</v>
      </c>
      <c r="B196" s="5">
        <v>1270.5</v>
      </c>
      <c r="C196" s="5">
        <v>1865.08</v>
      </c>
      <c r="D196" s="5">
        <v>484.45</v>
      </c>
      <c r="E196" s="5">
        <v>5830.1</v>
      </c>
      <c r="F196" s="5">
        <v>13.75</v>
      </c>
      <c r="G196" s="5">
        <v>14.77</v>
      </c>
      <c r="H196" s="5">
        <v>5442.45</v>
      </c>
      <c r="I196" s="5">
        <v>969.75</v>
      </c>
      <c r="J196" s="5">
        <v>93.2</v>
      </c>
      <c r="K196" s="10">
        <f t="shared" ref="K196:K259" si="6" xml:space="preserve"> (J197-J196)/J196</f>
        <v>-1.8240343347639514E-2</v>
      </c>
      <c r="L196" s="4">
        <v>467.14001500000001</v>
      </c>
      <c r="M196" s="10">
        <f t="shared" ref="M196:M259" si="7" xml:space="preserve"> (L197-L196)/L196</f>
        <v>-4.5746511353774728E-2</v>
      </c>
      <c r="N196" s="11">
        <v>0.57709650000000001</v>
      </c>
    </row>
    <row r="197" spans="1:14" x14ac:dyDescent="0.2">
      <c r="A197" s="3" t="s">
        <v>203</v>
      </c>
      <c r="B197" s="4">
        <v>1287.7</v>
      </c>
      <c r="C197" s="4">
        <v>1913.17</v>
      </c>
      <c r="D197" s="4">
        <v>451.09</v>
      </c>
      <c r="E197" s="4">
        <v>5590.43</v>
      </c>
      <c r="F197" s="4">
        <v>13.88</v>
      </c>
      <c r="G197" s="4">
        <v>14.65</v>
      </c>
      <c r="H197" s="4">
        <v>5405.52</v>
      </c>
      <c r="I197" s="4">
        <v>937.61</v>
      </c>
      <c r="J197" s="4">
        <v>91.5</v>
      </c>
      <c r="K197" s="10">
        <f t="shared" si="6"/>
        <v>1.2021857923497206E-2</v>
      </c>
      <c r="L197" s="4">
        <v>445.76998900000001</v>
      </c>
      <c r="M197" s="10">
        <f t="shared" si="7"/>
        <v>1.1530643889981578E-2</v>
      </c>
      <c r="N197" s="11">
        <v>0.52514000000000005</v>
      </c>
    </row>
    <row r="198" spans="1:14" x14ac:dyDescent="0.2">
      <c r="A198" s="3" t="s">
        <v>204</v>
      </c>
      <c r="B198" s="5">
        <v>1277.3</v>
      </c>
      <c r="C198" s="5">
        <v>1881.37</v>
      </c>
      <c r="D198" s="5">
        <v>440.42</v>
      </c>
      <c r="E198" s="5">
        <v>5400.26</v>
      </c>
      <c r="F198" s="5">
        <v>15.15</v>
      </c>
      <c r="G198" s="5">
        <v>16.399999999999999</v>
      </c>
      <c r="H198" s="5">
        <v>5383.05</v>
      </c>
      <c r="I198" s="5">
        <v>924.34</v>
      </c>
      <c r="J198" s="5">
        <v>92.6</v>
      </c>
      <c r="K198" s="10">
        <f t="shared" si="6"/>
        <v>2.1598272138229251E-3</v>
      </c>
      <c r="L198" s="4">
        <v>450.91000400000001</v>
      </c>
      <c r="M198" s="10">
        <f t="shared" si="7"/>
        <v>1.2397143444171589E-2</v>
      </c>
      <c r="N198" s="11">
        <v>0.45876099999999997</v>
      </c>
    </row>
    <row r="199" spans="1:14" x14ac:dyDescent="0.2">
      <c r="A199" s="3" t="s">
        <v>205</v>
      </c>
      <c r="B199" s="4">
        <v>1321</v>
      </c>
      <c r="C199" s="4">
        <v>2144.5</v>
      </c>
      <c r="D199" s="4">
        <v>475.86</v>
      </c>
      <c r="E199" s="4">
        <v>6082.86</v>
      </c>
      <c r="F199" s="4">
        <v>16.260000000000002</v>
      </c>
      <c r="G199" s="4">
        <v>17.88</v>
      </c>
      <c r="H199" s="4">
        <v>5493.48</v>
      </c>
      <c r="I199" s="4">
        <v>956.71</v>
      </c>
      <c r="J199" s="4">
        <v>92.8</v>
      </c>
      <c r="K199" s="10">
        <f t="shared" si="6"/>
        <v>-1.7241379310344768E-2</v>
      </c>
      <c r="L199" s="4">
        <v>456.5</v>
      </c>
      <c r="M199" s="10">
        <f t="shared" si="7"/>
        <v>-2.679082365826942E-2</v>
      </c>
      <c r="N199" s="11">
        <v>0.58090779999999997</v>
      </c>
    </row>
    <row r="200" spans="1:14" x14ac:dyDescent="0.2">
      <c r="A200" s="3" t="s">
        <v>206</v>
      </c>
      <c r="B200" s="5">
        <v>1402.4</v>
      </c>
      <c r="C200" s="5">
        <v>2363.09</v>
      </c>
      <c r="D200" s="5">
        <v>524.48</v>
      </c>
      <c r="E200" s="5">
        <v>6287.05</v>
      </c>
      <c r="F200" s="5">
        <v>16.739999999999998</v>
      </c>
      <c r="G200" s="5">
        <v>19.07</v>
      </c>
      <c r="H200" s="5">
        <v>5497.64</v>
      </c>
      <c r="I200" s="5">
        <v>966</v>
      </c>
      <c r="J200" s="5">
        <v>91.2</v>
      </c>
      <c r="K200" s="10">
        <f t="shared" si="6"/>
        <v>-2.412280701754389E-2</v>
      </c>
      <c r="L200" s="4">
        <v>444.26998900000001</v>
      </c>
      <c r="M200" s="10">
        <f t="shared" si="7"/>
        <v>3.1489907818193885E-2</v>
      </c>
      <c r="N200" s="11">
        <v>0.68494149999999998</v>
      </c>
    </row>
    <row r="201" spans="1:14" x14ac:dyDescent="0.2">
      <c r="A201" s="3" t="s">
        <v>207</v>
      </c>
      <c r="B201" s="4">
        <v>1492</v>
      </c>
      <c r="C201" s="4">
        <v>2447.2399999999998</v>
      </c>
      <c r="D201" s="4">
        <v>579.04999999999995</v>
      </c>
      <c r="E201" s="4">
        <v>6230.57</v>
      </c>
      <c r="F201" s="4">
        <v>17.63</v>
      </c>
      <c r="G201" s="4">
        <v>19.649999999999999</v>
      </c>
      <c r="H201" s="4">
        <v>5300.95</v>
      </c>
      <c r="I201" s="4">
        <v>962.64</v>
      </c>
      <c r="J201" s="4">
        <v>89</v>
      </c>
      <c r="K201" s="10">
        <f t="shared" si="6"/>
        <v>3.0337078651685424E-2</v>
      </c>
      <c r="L201" s="4">
        <v>458.26001000000002</v>
      </c>
      <c r="M201" s="10">
        <f t="shared" si="7"/>
        <v>3.7598698607805542E-2</v>
      </c>
      <c r="N201" s="11">
        <v>0.61439719999999998</v>
      </c>
    </row>
    <row r="202" spans="1:14" x14ac:dyDescent="0.2">
      <c r="A202" s="3" t="s">
        <v>208</v>
      </c>
      <c r="B202" s="5">
        <v>1457.1</v>
      </c>
      <c r="C202" s="5">
        <v>2409.75</v>
      </c>
      <c r="D202" s="5">
        <v>570.57000000000005</v>
      </c>
      <c r="E202" s="5">
        <v>5856.14</v>
      </c>
      <c r="F202" s="5">
        <v>16.82</v>
      </c>
      <c r="G202" s="5">
        <v>18.38</v>
      </c>
      <c r="H202" s="5">
        <v>5173.32</v>
      </c>
      <c r="I202" s="5">
        <v>946.91</v>
      </c>
      <c r="J202" s="5">
        <v>91.7</v>
      </c>
      <c r="K202" s="10">
        <f t="shared" si="6"/>
        <v>-2.1810250817884715E-3</v>
      </c>
      <c r="L202" s="4">
        <v>475.48998999999998</v>
      </c>
      <c r="M202" s="10">
        <f t="shared" si="7"/>
        <v>-2.6877535318882265E-2</v>
      </c>
      <c r="N202" s="11">
        <v>0.63808690000000001</v>
      </c>
    </row>
    <row r="203" spans="1:14" x14ac:dyDescent="0.2">
      <c r="A203" s="3" t="s">
        <v>209</v>
      </c>
      <c r="B203" s="4">
        <v>1571.1</v>
      </c>
      <c r="C203" s="4">
        <v>2504.84</v>
      </c>
      <c r="D203" s="4">
        <v>612.95000000000005</v>
      </c>
      <c r="E203" s="4">
        <v>6370.68</v>
      </c>
      <c r="F203" s="4">
        <v>15.85</v>
      </c>
      <c r="G203" s="4">
        <v>17.45</v>
      </c>
      <c r="H203" s="4">
        <v>5318.73</v>
      </c>
      <c r="I203" s="4">
        <v>993.55</v>
      </c>
      <c r="J203" s="4">
        <v>91.5</v>
      </c>
      <c r="K203" s="10">
        <f t="shared" si="6"/>
        <v>1.3114754098360687E-2</v>
      </c>
      <c r="L203" s="4">
        <v>462.709991</v>
      </c>
      <c r="M203" s="10">
        <f t="shared" si="7"/>
        <v>2.0833816402291615E-2</v>
      </c>
      <c r="N203" s="11">
        <v>0.64242350000000004</v>
      </c>
    </row>
    <row r="204" spans="1:14" x14ac:dyDescent="0.2">
      <c r="A204" s="3" t="s">
        <v>210</v>
      </c>
      <c r="B204" s="5">
        <v>1694.3</v>
      </c>
      <c r="C204" s="5">
        <v>2546.02</v>
      </c>
      <c r="D204" s="5">
        <v>640.64</v>
      </c>
      <c r="E204" s="5">
        <v>6735.86</v>
      </c>
      <c r="F204" s="5">
        <v>16.43</v>
      </c>
      <c r="G204" s="5">
        <v>17.7</v>
      </c>
      <c r="H204" s="5">
        <v>5479.29</v>
      </c>
      <c r="I204" s="5">
        <v>1059.55</v>
      </c>
      <c r="J204" s="5">
        <v>92.7</v>
      </c>
      <c r="K204" s="10">
        <f t="shared" si="6"/>
        <v>-1.1866235167206132E-2</v>
      </c>
      <c r="L204" s="4">
        <v>472.35000600000001</v>
      </c>
      <c r="M204" s="10">
        <f t="shared" si="7"/>
        <v>-3.9504612602884175E-2</v>
      </c>
      <c r="N204" s="11">
        <v>0.5157098</v>
      </c>
    </row>
    <row r="205" spans="1:14" x14ac:dyDescent="0.2">
      <c r="A205" s="3" t="s">
        <v>211</v>
      </c>
      <c r="B205" s="4">
        <v>1885.9</v>
      </c>
      <c r="C205" s="4">
        <v>2803.55</v>
      </c>
      <c r="D205" s="4">
        <v>679.32</v>
      </c>
      <c r="E205" s="4">
        <v>7474.55</v>
      </c>
      <c r="F205" s="4">
        <v>17.3</v>
      </c>
      <c r="G205" s="4">
        <v>18.07</v>
      </c>
      <c r="H205" s="4">
        <v>6139.09</v>
      </c>
      <c r="I205" s="4">
        <v>1150.27</v>
      </c>
      <c r="J205" s="4">
        <v>91.6</v>
      </c>
      <c r="K205" s="10">
        <f t="shared" si="6"/>
        <v>3.8209606986899569E-2</v>
      </c>
      <c r="L205" s="4">
        <v>453.69000199999999</v>
      </c>
      <c r="M205" s="10">
        <f t="shared" si="7"/>
        <v>1.2299118286499109E-2</v>
      </c>
      <c r="N205" s="11">
        <v>0.507575</v>
      </c>
    </row>
    <row r="206" spans="1:14" x14ac:dyDescent="0.2">
      <c r="A206" s="3" t="s">
        <v>212</v>
      </c>
      <c r="B206" s="5">
        <v>1878.4</v>
      </c>
      <c r="C206" s="5">
        <v>2980.7</v>
      </c>
      <c r="D206" s="5">
        <v>634.38</v>
      </c>
      <c r="E206" s="5">
        <v>8540.65</v>
      </c>
      <c r="F206" s="5">
        <v>15.88</v>
      </c>
      <c r="G206" s="5">
        <v>17.170000000000002</v>
      </c>
      <c r="H206" s="5">
        <v>5935.5</v>
      </c>
      <c r="I206" s="5">
        <v>1112.75</v>
      </c>
      <c r="J206" s="5">
        <v>95.1</v>
      </c>
      <c r="K206" s="10">
        <f t="shared" si="6"/>
        <v>2.6288117770767616E-2</v>
      </c>
      <c r="L206" s="4">
        <v>459.26998900000001</v>
      </c>
      <c r="M206" s="10">
        <f t="shared" si="7"/>
        <v>2.4277710860833045E-2</v>
      </c>
      <c r="N206" s="11">
        <v>0.38243959999999999</v>
      </c>
    </row>
    <row r="207" spans="1:14" x14ac:dyDescent="0.2">
      <c r="A207" s="3" t="s">
        <v>213</v>
      </c>
      <c r="B207" s="4">
        <v>2059.4</v>
      </c>
      <c r="C207" s="4">
        <v>3003.26</v>
      </c>
      <c r="D207" s="4">
        <v>664.81</v>
      </c>
      <c r="E207" s="4">
        <v>9596.19</v>
      </c>
      <c r="F207" s="4">
        <v>16.55</v>
      </c>
      <c r="G207" s="4">
        <v>18.02</v>
      </c>
      <c r="H207" s="4">
        <v>6187.62</v>
      </c>
      <c r="I207" s="4">
        <v>1154.81</v>
      </c>
      <c r="J207" s="4">
        <v>97.6</v>
      </c>
      <c r="K207" s="10">
        <f t="shared" si="6"/>
        <v>-2.5614754098360656E-2</v>
      </c>
      <c r="L207" s="4">
        <v>470.42001299999998</v>
      </c>
      <c r="M207" s="10">
        <f t="shared" si="7"/>
        <v>3.6074149761991574E-2</v>
      </c>
      <c r="N207" s="11">
        <v>0.43653950000000002</v>
      </c>
    </row>
    <row r="208" spans="1:14" x14ac:dyDescent="0.2">
      <c r="A208" s="3" t="s">
        <v>214</v>
      </c>
      <c r="B208" s="5">
        <v>1905.4</v>
      </c>
      <c r="C208" s="5">
        <v>2870.45</v>
      </c>
      <c r="D208" s="5">
        <v>577.79999999999995</v>
      </c>
      <c r="E208" s="5">
        <v>8431.25</v>
      </c>
      <c r="F208" s="5">
        <v>17.14</v>
      </c>
      <c r="G208" s="5">
        <v>18.55</v>
      </c>
      <c r="H208" s="5">
        <v>5431</v>
      </c>
      <c r="I208" s="5">
        <v>1030.68</v>
      </c>
      <c r="J208" s="5">
        <v>95.1</v>
      </c>
      <c r="K208" s="10">
        <f t="shared" si="6"/>
        <v>-5.0473186119873788E-2</v>
      </c>
      <c r="L208" s="4">
        <v>487.39001500000001</v>
      </c>
      <c r="M208" s="10">
        <f t="shared" si="7"/>
        <v>2.7329193438646864E-2</v>
      </c>
      <c r="N208" s="11">
        <v>0.44960240000000001</v>
      </c>
    </row>
    <row r="209" spans="1:14" x14ac:dyDescent="0.2">
      <c r="A209" s="3" t="s">
        <v>215</v>
      </c>
      <c r="B209" s="4">
        <v>1800</v>
      </c>
      <c r="C209" s="4">
        <v>2919.67</v>
      </c>
      <c r="D209" s="4">
        <v>582.04</v>
      </c>
      <c r="E209" s="4">
        <v>7522.39</v>
      </c>
      <c r="F209" s="4">
        <v>17.02</v>
      </c>
      <c r="G209" s="4">
        <v>18.55</v>
      </c>
      <c r="H209" s="4">
        <v>5516.3</v>
      </c>
      <c r="I209" s="4">
        <v>1021.7</v>
      </c>
      <c r="J209" s="4">
        <v>90.3</v>
      </c>
      <c r="K209" s="10">
        <f t="shared" si="6"/>
        <v>2.4363233665559279E-2</v>
      </c>
      <c r="L209" s="4">
        <v>500.709991</v>
      </c>
      <c r="M209" s="10">
        <f t="shared" si="7"/>
        <v>2.7960358793799222E-2</v>
      </c>
      <c r="N209" s="11">
        <v>0.30589309999999997</v>
      </c>
    </row>
    <row r="210" spans="1:14" x14ac:dyDescent="0.2">
      <c r="A210" s="3" t="s">
        <v>216</v>
      </c>
      <c r="B210" s="5">
        <v>1849.4</v>
      </c>
      <c r="C210" s="5">
        <v>2894.89</v>
      </c>
      <c r="D210" s="5">
        <v>605.78</v>
      </c>
      <c r="E210" s="5">
        <v>7405</v>
      </c>
      <c r="F210" s="5">
        <v>18.739999999999998</v>
      </c>
      <c r="G210" s="5">
        <v>19.91</v>
      </c>
      <c r="H210" s="5">
        <v>5854.44</v>
      </c>
      <c r="I210" s="5">
        <v>1059.1400000000001</v>
      </c>
      <c r="J210" s="5">
        <v>92.5</v>
      </c>
      <c r="K210" s="10">
        <f t="shared" si="6"/>
        <v>-2.9189189189189221E-2</v>
      </c>
      <c r="L210" s="4">
        <v>514.71002199999998</v>
      </c>
      <c r="M210" s="10">
        <f t="shared" si="7"/>
        <v>3.6311711839953353E-2</v>
      </c>
      <c r="N210" s="11">
        <v>0.10793220000000001</v>
      </c>
    </row>
    <row r="211" spans="1:14" x14ac:dyDescent="0.2">
      <c r="A211" s="3" t="s">
        <v>217</v>
      </c>
      <c r="B211" s="4">
        <v>1765.5</v>
      </c>
      <c r="C211" s="4">
        <v>2771.57</v>
      </c>
      <c r="D211" s="4">
        <v>595.88</v>
      </c>
      <c r="E211" s="4">
        <v>7262.38</v>
      </c>
      <c r="F211" s="4">
        <v>18.32</v>
      </c>
      <c r="G211" s="4">
        <v>19.73</v>
      </c>
      <c r="H211" s="4">
        <v>5924.52</v>
      </c>
      <c r="I211" s="4">
        <v>1036.6199999999999</v>
      </c>
      <c r="J211" s="4">
        <v>89.8</v>
      </c>
      <c r="K211" s="10">
        <f t="shared" si="6"/>
        <v>3.2293986636971111E-2</v>
      </c>
      <c r="L211" s="4">
        <v>533.40002400000003</v>
      </c>
      <c r="M211" s="10">
        <f t="shared" si="7"/>
        <v>2.1278544224437396E-2</v>
      </c>
      <c r="N211" s="11">
        <v>-2.67102E-2</v>
      </c>
    </row>
    <row r="212" spans="1:14" x14ac:dyDescent="0.2">
      <c r="A212" s="3" t="s">
        <v>218</v>
      </c>
      <c r="B212" s="5">
        <v>1775.8</v>
      </c>
      <c r="C212" s="5">
        <v>2987.68</v>
      </c>
      <c r="D212" s="5">
        <v>610.27</v>
      </c>
      <c r="E212" s="5">
        <v>7877.27</v>
      </c>
      <c r="F212" s="5">
        <v>17.350000000000001</v>
      </c>
      <c r="G212" s="5">
        <v>18.420000000000002</v>
      </c>
      <c r="H212" s="5">
        <v>6646.82</v>
      </c>
      <c r="I212" s="5">
        <v>1007.77</v>
      </c>
      <c r="J212" s="5">
        <v>92.7</v>
      </c>
      <c r="K212" s="10">
        <f t="shared" si="6"/>
        <v>1.8338727076591184E-2</v>
      </c>
      <c r="L212" s="4">
        <v>544.75</v>
      </c>
      <c r="M212" s="10">
        <f t="shared" si="7"/>
        <v>3.1776040385497847E-2</v>
      </c>
      <c r="N212" s="11">
        <v>-6.3850699999999996E-2</v>
      </c>
    </row>
    <row r="213" spans="1:14" x14ac:dyDescent="0.2">
      <c r="A213" s="3" t="s">
        <v>219</v>
      </c>
      <c r="B213" s="4">
        <v>1867.3</v>
      </c>
      <c r="C213" s="4">
        <v>3076.45</v>
      </c>
      <c r="D213" s="4">
        <v>622.4</v>
      </c>
      <c r="E213" s="4">
        <v>8618</v>
      </c>
      <c r="F213" s="4">
        <v>15.86</v>
      </c>
      <c r="G213" s="4">
        <v>17.3</v>
      </c>
      <c r="H213" s="4">
        <v>6640.75</v>
      </c>
      <c r="I213" s="4">
        <v>1028.06</v>
      </c>
      <c r="J213" s="4">
        <v>94.4</v>
      </c>
      <c r="K213" s="10">
        <f t="shared" si="6"/>
        <v>1.9067796610169462E-2</v>
      </c>
      <c r="L213" s="4">
        <v>562.05999799999995</v>
      </c>
      <c r="M213" s="10">
        <f t="shared" si="7"/>
        <v>-3.2023805401637506E-4</v>
      </c>
      <c r="N213" s="11">
        <v>-0.130912</v>
      </c>
    </row>
    <row r="214" spans="1:14" x14ac:dyDescent="0.2">
      <c r="A214" s="3" t="s">
        <v>220</v>
      </c>
      <c r="B214" s="5">
        <v>1890</v>
      </c>
      <c r="C214" s="5">
        <v>3040.14</v>
      </c>
      <c r="D214" s="5">
        <v>623.39</v>
      </c>
      <c r="E214" s="5">
        <v>8931.82</v>
      </c>
      <c r="F214" s="5">
        <v>16.07</v>
      </c>
      <c r="G214" s="5">
        <v>18.010000000000002</v>
      </c>
      <c r="H214" s="5">
        <v>6966.14</v>
      </c>
      <c r="I214" s="5">
        <v>1015.48</v>
      </c>
      <c r="J214" s="5">
        <v>96.2</v>
      </c>
      <c r="K214" s="10">
        <f t="shared" si="6"/>
        <v>-7.5883575883575846E-2</v>
      </c>
      <c r="L214" s="4">
        <v>561.88000499999998</v>
      </c>
      <c r="M214" s="10">
        <f t="shared" si="7"/>
        <v>4.0097472413171305E-2</v>
      </c>
      <c r="N214" s="11">
        <v>-1.2844100000000001E-2</v>
      </c>
    </row>
    <row r="215" spans="1:14" x14ac:dyDescent="0.2">
      <c r="A215" s="3" t="s">
        <v>221</v>
      </c>
      <c r="B215" s="4">
        <v>1761.7</v>
      </c>
      <c r="C215" s="4">
        <v>2910.43</v>
      </c>
      <c r="D215" s="4">
        <v>591.25</v>
      </c>
      <c r="E215" s="4">
        <v>8397.25</v>
      </c>
      <c r="F215" s="4">
        <v>16.66</v>
      </c>
      <c r="G215" s="4">
        <v>18.22</v>
      </c>
      <c r="H215" s="4">
        <v>6333.75</v>
      </c>
      <c r="I215" s="4">
        <v>988.03</v>
      </c>
      <c r="J215" s="4">
        <v>88.9</v>
      </c>
      <c r="K215" s="10">
        <f t="shared" si="6"/>
        <v>1.4623172103487032E-2</v>
      </c>
      <c r="L215" s="4">
        <v>584.40997300000004</v>
      </c>
      <c r="M215" s="10">
        <f t="shared" si="7"/>
        <v>-4.9793349436903535E-3</v>
      </c>
      <c r="N215" s="11">
        <v>4.4304000000000003E-2</v>
      </c>
    </row>
    <row r="216" spans="1:14" x14ac:dyDescent="0.2">
      <c r="A216" s="3" t="s">
        <v>222</v>
      </c>
      <c r="B216" s="5">
        <v>1672</v>
      </c>
      <c r="C216" s="5">
        <v>2810.07</v>
      </c>
      <c r="D216" s="5">
        <v>639.39</v>
      </c>
      <c r="E216" s="5">
        <v>8068.86</v>
      </c>
      <c r="F216" s="5">
        <v>16.12</v>
      </c>
      <c r="G216" s="5">
        <v>17.43</v>
      </c>
      <c r="H216" s="5">
        <v>6209.55</v>
      </c>
      <c r="I216" s="5">
        <v>980.43</v>
      </c>
      <c r="J216" s="5">
        <v>90.2</v>
      </c>
      <c r="K216" s="10">
        <f t="shared" si="6"/>
        <v>-2.2172949002217293E-2</v>
      </c>
      <c r="L216" s="4">
        <v>581.5</v>
      </c>
      <c r="M216" s="10">
        <f t="shared" si="7"/>
        <v>4.1049002579535712E-2</v>
      </c>
      <c r="N216" s="11">
        <v>7.1802199999999997E-2</v>
      </c>
    </row>
    <row r="217" spans="1:14" x14ac:dyDescent="0.2">
      <c r="A217" s="3" t="s">
        <v>223</v>
      </c>
      <c r="B217" s="4">
        <v>1655.9</v>
      </c>
      <c r="C217" s="4">
        <v>2981.62</v>
      </c>
      <c r="D217" s="4">
        <v>710.5</v>
      </c>
      <c r="E217" s="4">
        <v>8498.1</v>
      </c>
      <c r="F217" s="4">
        <v>16.88</v>
      </c>
      <c r="G217" s="4">
        <v>18.010000000000002</v>
      </c>
      <c r="H217" s="4">
        <v>6381.67</v>
      </c>
      <c r="I217" s="4">
        <v>1033.19</v>
      </c>
      <c r="J217" s="4">
        <v>88.2</v>
      </c>
      <c r="K217" s="10">
        <f t="shared" si="6"/>
        <v>3.174603174603171E-2</v>
      </c>
      <c r="L217" s="4">
        <v>605.36999500000002</v>
      </c>
      <c r="M217" s="10">
        <f t="shared" si="7"/>
        <v>1.7443874138492691E-2</v>
      </c>
      <c r="N217" s="11">
        <v>0.15837560000000001</v>
      </c>
    </row>
    <row r="218" spans="1:14" x14ac:dyDescent="0.2">
      <c r="A218" s="3" t="s">
        <v>224</v>
      </c>
      <c r="B218" s="5">
        <v>1657.8</v>
      </c>
      <c r="C218" s="5">
        <v>2918.21</v>
      </c>
      <c r="D218" s="5">
        <v>728.03</v>
      </c>
      <c r="E218" s="5">
        <v>8074.21</v>
      </c>
      <c r="F218" s="5">
        <v>17.96</v>
      </c>
      <c r="G218" s="5">
        <v>19.03</v>
      </c>
      <c r="H218" s="5">
        <v>6275.79</v>
      </c>
      <c r="I218" s="5">
        <v>1017.16</v>
      </c>
      <c r="J218" s="5">
        <v>91</v>
      </c>
      <c r="K218" s="10">
        <f t="shared" si="6"/>
        <v>-1.8681318681318712E-2</v>
      </c>
      <c r="L218" s="4">
        <v>615.92999299999997</v>
      </c>
      <c r="M218" s="10">
        <f t="shared" si="7"/>
        <v>3.2617387086717305E-2</v>
      </c>
      <c r="N218" s="11">
        <v>0.20664940000000001</v>
      </c>
    </row>
    <row r="219" spans="1:14" x14ac:dyDescent="0.2">
      <c r="A219" s="3" t="s">
        <v>225</v>
      </c>
      <c r="B219" s="4">
        <v>1584.5</v>
      </c>
      <c r="C219" s="4">
        <v>2605</v>
      </c>
      <c r="D219" s="4">
        <v>709.88</v>
      </c>
      <c r="E219" s="4">
        <v>7870.71</v>
      </c>
      <c r="F219" s="4">
        <v>17.940000000000001</v>
      </c>
      <c r="G219" s="4">
        <v>18.87</v>
      </c>
      <c r="H219" s="4">
        <v>6257.14</v>
      </c>
      <c r="I219" s="4">
        <v>1019.69</v>
      </c>
      <c r="J219" s="4">
        <v>89.3</v>
      </c>
      <c r="K219" s="10">
        <f t="shared" si="6"/>
        <v>-8.9585666293392745E-3</v>
      </c>
      <c r="L219" s="4">
        <v>636.02002000000005</v>
      </c>
      <c r="M219" s="10">
        <f t="shared" si="7"/>
        <v>6.9337015523503838E-3</v>
      </c>
      <c r="N219" s="11">
        <v>0.26010359999999999</v>
      </c>
    </row>
    <row r="220" spans="1:14" x14ac:dyDescent="0.2">
      <c r="A220" s="3" t="s">
        <v>226</v>
      </c>
      <c r="B220" s="5">
        <v>1594.6</v>
      </c>
      <c r="C220" s="5">
        <v>2544.67</v>
      </c>
      <c r="D220" s="5">
        <v>768.43</v>
      </c>
      <c r="E220" s="5">
        <v>8198.5</v>
      </c>
      <c r="F220" s="5">
        <v>17.97</v>
      </c>
      <c r="G220" s="5">
        <v>19.09</v>
      </c>
      <c r="H220" s="5">
        <v>6189.29</v>
      </c>
      <c r="I220" s="5">
        <v>1035.83</v>
      </c>
      <c r="J220" s="5">
        <v>88.5</v>
      </c>
      <c r="K220" s="10">
        <f t="shared" si="6"/>
        <v>5.8757062146892684E-2</v>
      </c>
      <c r="L220" s="4">
        <v>640.42999299999997</v>
      </c>
      <c r="M220" s="10">
        <f t="shared" si="7"/>
        <v>7.916567080580238E-3</v>
      </c>
      <c r="N220" s="11">
        <v>0.26309280000000002</v>
      </c>
    </row>
    <row r="221" spans="1:14" x14ac:dyDescent="0.2">
      <c r="A221" s="3" t="s">
        <v>227</v>
      </c>
      <c r="B221" s="4">
        <v>1614.9</v>
      </c>
      <c r="C221" s="4">
        <v>2563.35</v>
      </c>
      <c r="D221" s="4">
        <v>816.7</v>
      </c>
      <c r="E221" s="4">
        <v>8046.4</v>
      </c>
      <c r="F221" s="4">
        <v>19.989999999999998</v>
      </c>
      <c r="G221" s="4">
        <v>21.31</v>
      </c>
      <c r="H221" s="4">
        <v>6205.25</v>
      </c>
      <c r="I221" s="4">
        <v>1063.25</v>
      </c>
      <c r="J221" s="4">
        <v>93.7</v>
      </c>
      <c r="K221" s="10">
        <f t="shared" si="6"/>
        <v>-1.0672358591248666E-2</v>
      </c>
      <c r="L221" s="4">
        <v>645.5</v>
      </c>
      <c r="M221" s="10">
        <f t="shared" si="7"/>
        <v>1.3431422153369484E-2</v>
      </c>
      <c r="N221" s="11">
        <v>0.3346519</v>
      </c>
    </row>
    <row r="222" spans="1:14" x14ac:dyDescent="0.2">
      <c r="A222" s="3" t="s">
        <v>228</v>
      </c>
      <c r="B222" s="5">
        <v>1587.4</v>
      </c>
      <c r="C222" s="5">
        <v>2594.17</v>
      </c>
      <c r="D222" s="5">
        <v>812.03</v>
      </c>
      <c r="E222" s="5">
        <v>8047</v>
      </c>
      <c r="F222" s="5">
        <v>21.01</v>
      </c>
      <c r="G222" s="5">
        <v>23.56</v>
      </c>
      <c r="H222" s="5">
        <v>6467.25</v>
      </c>
      <c r="I222" s="5">
        <v>1043.95</v>
      </c>
      <c r="J222" s="5">
        <v>92.7</v>
      </c>
      <c r="K222" s="10">
        <f t="shared" si="6"/>
        <v>-3.5598705501618089E-2</v>
      </c>
      <c r="L222" s="4">
        <v>654.169983</v>
      </c>
      <c r="M222" s="10">
        <f t="shared" si="7"/>
        <v>2.2853405672085103E-2</v>
      </c>
      <c r="N222" s="11">
        <v>0.24375939999999999</v>
      </c>
    </row>
    <row r="223" spans="1:14" x14ac:dyDescent="0.2">
      <c r="A223" s="3" t="s">
        <v>229</v>
      </c>
      <c r="B223" s="4">
        <v>1593.9</v>
      </c>
      <c r="C223" s="4">
        <v>2658.76</v>
      </c>
      <c r="D223" s="4">
        <v>840.98</v>
      </c>
      <c r="E223" s="4">
        <v>8042.86</v>
      </c>
      <c r="F223" s="4">
        <v>19.149999999999999</v>
      </c>
      <c r="G223" s="4">
        <v>21.21</v>
      </c>
      <c r="H223" s="4">
        <v>6401.9</v>
      </c>
      <c r="I223" s="4">
        <v>1036.55</v>
      </c>
      <c r="J223" s="4">
        <v>89.4</v>
      </c>
      <c r="K223" s="10">
        <f t="shared" si="6"/>
        <v>3.3557046979865772E-2</v>
      </c>
      <c r="L223" s="4">
        <v>669.11999500000002</v>
      </c>
      <c r="M223" s="10">
        <f t="shared" si="7"/>
        <v>2.2567103229368681E-3</v>
      </c>
      <c r="N223" s="11">
        <v>0.30751289999999998</v>
      </c>
    </row>
    <row r="224" spans="1:14" x14ac:dyDescent="0.2">
      <c r="A224" s="3" t="s">
        <v>230</v>
      </c>
      <c r="B224" s="5">
        <v>1485.8</v>
      </c>
      <c r="C224" s="5">
        <v>2177.6</v>
      </c>
      <c r="D224" s="5">
        <v>796.58</v>
      </c>
      <c r="E224" s="5">
        <v>7713.16</v>
      </c>
      <c r="F224" s="5">
        <v>18.27</v>
      </c>
      <c r="G224" s="5">
        <v>20.420000000000002</v>
      </c>
      <c r="H224" s="5">
        <v>6183.75</v>
      </c>
      <c r="I224" s="5">
        <v>1009.4</v>
      </c>
      <c r="J224" s="5">
        <v>92.4</v>
      </c>
      <c r="K224" s="10">
        <f t="shared" si="6"/>
        <v>2.4891774891774861E-2</v>
      </c>
      <c r="L224" s="4">
        <v>670.63000499999998</v>
      </c>
      <c r="M224" s="10">
        <f t="shared" si="7"/>
        <v>-4.5748017194667527E-2</v>
      </c>
      <c r="N224" s="11">
        <v>0.51728609999999997</v>
      </c>
    </row>
    <row r="225" spans="1:14" x14ac:dyDescent="0.2">
      <c r="A225" s="3" t="s">
        <v>231</v>
      </c>
      <c r="B225" s="4">
        <v>1460</v>
      </c>
      <c r="C225" s="4">
        <v>1983.93</v>
      </c>
      <c r="D225" s="4">
        <v>783.78</v>
      </c>
      <c r="E225" s="4">
        <v>7202.61</v>
      </c>
      <c r="F225" s="4">
        <v>19.61</v>
      </c>
      <c r="G225" s="4">
        <v>21.29</v>
      </c>
      <c r="H225" s="4">
        <v>6245.52</v>
      </c>
      <c r="I225" s="4">
        <v>1000.52</v>
      </c>
      <c r="J225" s="4">
        <v>94.7</v>
      </c>
      <c r="K225" s="10">
        <f t="shared" si="6"/>
        <v>6.3357972544877961E-3</v>
      </c>
      <c r="L225" s="4">
        <v>639.95001200000002</v>
      </c>
      <c r="M225" s="10">
        <f t="shared" si="7"/>
        <v>1.8813935110919288E-2</v>
      </c>
      <c r="N225" s="11">
        <v>0.61095730000000004</v>
      </c>
    </row>
    <row r="226" spans="1:14" x14ac:dyDescent="0.2">
      <c r="A226" s="3" t="s">
        <v>232</v>
      </c>
      <c r="B226" s="5">
        <v>1466.8</v>
      </c>
      <c r="C226" s="5">
        <v>2017.86</v>
      </c>
      <c r="D226" s="5">
        <v>816.17</v>
      </c>
      <c r="E226" s="5">
        <v>7037.62</v>
      </c>
      <c r="F226" s="5">
        <v>19.96</v>
      </c>
      <c r="G226" s="5">
        <v>21.94</v>
      </c>
      <c r="H226" s="5">
        <v>6109.52</v>
      </c>
      <c r="I226" s="5">
        <v>1007.95</v>
      </c>
      <c r="J226" s="5">
        <v>95.3</v>
      </c>
      <c r="K226" s="10">
        <f t="shared" si="6"/>
        <v>-6.2959076600209267E-3</v>
      </c>
      <c r="L226" s="4">
        <v>651.98999000000003</v>
      </c>
      <c r="M226" s="10">
        <f t="shared" si="7"/>
        <v>5.4203327569492227E-2</v>
      </c>
      <c r="N226" s="11">
        <v>0.73730569999999995</v>
      </c>
    </row>
    <row r="227" spans="1:14" x14ac:dyDescent="0.2">
      <c r="A227" s="3" t="s">
        <v>233</v>
      </c>
      <c r="B227" s="4">
        <v>1405.8</v>
      </c>
      <c r="C227" s="4">
        <v>1935.07</v>
      </c>
      <c r="D227" s="4">
        <v>794.26</v>
      </c>
      <c r="E227" s="4">
        <v>7329.81</v>
      </c>
      <c r="F227" s="4">
        <v>22.06</v>
      </c>
      <c r="G227" s="4">
        <v>24.01</v>
      </c>
      <c r="H227" s="4">
        <v>6093.71</v>
      </c>
      <c r="I227" s="4">
        <v>998.98</v>
      </c>
      <c r="J227" s="4">
        <v>94.7</v>
      </c>
      <c r="K227" s="10">
        <f t="shared" si="6"/>
        <v>1.9007391763463537E-2</v>
      </c>
      <c r="L227" s="4">
        <v>687.330017</v>
      </c>
      <c r="M227" s="10">
        <f t="shared" si="7"/>
        <v>2.610100323903073E-2</v>
      </c>
      <c r="N227" s="11">
        <v>0.73197069999999997</v>
      </c>
    </row>
    <row r="228" spans="1:14" x14ac:dyDescent="0.2">
      <c r="A228" s="3" t="s">
        <v>234</v>
      </c>
      <c r="B228" s="5">
        <v>1336</v>
      </c>
      <c r="C228" s="5">
        <v>1960.2</v>
      </c>
      <c r="D228" s="5">
        <v>741.07</v>
      </c>
      <c r="E228" s="5">
        <v>7028.7</v>
      </c>
      <c r="F228" s="5">
        <v>23.68</v>
      </c>
      <c r="G228" s="5">
        <v>24.9</v>
      </c>
      <c r="H228" s="5">
        <v>5933.09</v>
      </c>
      <c r="I228" s="5">
        <v>1002.72</v>
      </c>
      <c r="J228" s="5">
        <v>96.5</v>
      </c>
      <c r="K228" s="10">
        <f t="shared" si="6"/>
        <v>2.7979274611398992E-2</v>
      </c>
      <c r="L228" s="4">
        <v>705.27002000000005</v>
      </c>
      <c r="M228" s="10">
        <f t="shared" si="7"/>
        <v>7.337615173263709E-2</v>
      </c>
      <c r="N228" s="11">
        <v>0.71920220000000001</v>
      </c>
    </row>
    <row r="229" spans="1:14" x14ac:dyDescent="0.2">
      <c r="A229" s="3" t="s">
        <v>235</v>
      </c>
      <c r="B229" s="4">
        <v>1451</v>
      </c>
      <c r="C229" s="4">
        <v>2215.4299999999998</v>
      </c>
      <c r="D229" s="4">
        <v>720.29</v>
      </c>
      <c r="E229" s="4">
        <v>6960.71</v>
      </c>
      <c r="F229" s="4">
        <v>22.28</v>
      </c>
      <c r="G229" s="4">
        <v>23.61</v>
      </c>
      <c r="H229" s="4">
        <v>5993.86</v>
      </c>
      <c r="I229" s="4">
        <v>1044.31</v>
      </c>
      <c r="J229" s="4">
        <v>99.2</v>
      </c>
      <c r="K229" s="10">
        <f t="shared" si="6"/>
        <v>-2.3185483870967711E-2</v>
      </c>
      <c r="L229" s="4">
        <v>757.02002000000005</v>
      </c>
      <c r="M229" s="10">
        <f t="shared" si="7"/>
        <v>-2.1505415404998153E-2</v>
      </c>
      <c r="N229" s="11">
        <v>0.7033758</v>
      </c>
    </row>
    <row r="230" spans="1:14" x14ac:dyDescent="0.2">
      <c r="A230" s="3" t="s">
        <v>236</v>
      </c>
      <c r="B230" s="5">
        <v>1501</v>
      </c>
      <c r="C230" s="5">
        <v>2264.6</v>
      </c>
      <c r="D230" s="5">
        <v>689.36</v>
      </c>
      <c r="E230" s="5">
        <v>6571.05</v>
      </c>
      <c r="F230" s="5">
        <v>23.52</v>
      </c>
      <c r="G230" s="5">
        <v>25.37</v>
      </c>
      <c r="H230" s="5">
        <v>5826.24</v>
      </c>
      <c r="I230" s="5">
        <v>1036.55</v>
      </c>
      <c r="J230" s="5">
        <v>96.9</v>
      </c>
      <c r="K230" s="10">
        <f t="shared" si="6"/>
        <v>5.1599587203302374E-3</v>
      </c>
      <c r="L230" s="4">
        <v>740.73999000000003</v>
      </c>
      <c r="M230" s="10">
        <f t="shared" si="7"/>
        <v>6.1317039194819227E-2</v>
      </c>
      <c r="N230" s="11">
        <v>0.76841000000000004</v>
      </c>
    </row>
    <row r="231" spans="1:14" x14ac:dyDescent="0.2">
      <c r="A231" s="3" t="s">
        <v>237</v>
      </c>
      <c r="B231" s="4">
        <v>1575.1</v>
      </c>
      <c r="C231" s="4">
        <v>2427.27</v>
      </c>
      <c r="D231" s="4">
        <v>691.52</v>
      </c>
      <c r="E231" s="4">
        <v>7069.14</v>
      </c>
      <c r="F231" s="4">
        <v>23.47</v>
      </c>
      <c r="G231" s="4">
        <v>25.17</v>
      </c>
      <c r="H231" s="4">
        <v>5871.14</v>
      </c>
      <c r="I231" s="4">
        <v>1086.1400000000001</v>
      </c>
      <c r="J231" s="4">
        <v>97.4</v>
      </c>
      <c r="K231" s="10">
        <f t="shared" si="6"/>
        <v>2.3613963039014342E-2</v>
      </c>
      <c r="L231" s="4">
        <v>786.15997300000004</v>
      </c>
      <c r="M231" s="10">
        <f t="shared" si="7"/>
        <v>5.9275900071803778E-3</v>
      </c>
      <c r="N231" s="11">
        <v>0.76297459999999995</v>
      </c>
    </row>
    <row r="232" spans="1:14" x14ac:dyDescent="0.2">
      <c r="A232" s="3" t="s">
        <v>238</v>
      </c>
      <c r="B232" s="5">
        <v>1582.1</v>
      </c>
      <c r="C232" s="5">
        <v>2406.63</v>
      </c>
      <c r="D232" s="5">
        <v>657.89</v>
      </c>
      <c r="E232" s="5">
        <v>7736.58</v>
      </c>
      <c r="F232" s="5">
        <v>20.83</v>
      </c>
      <c r="G232" s="5">
        <v>22.19</v>
      </c>
      <c r="H232" s="5">
        <v>5874.32</v>
      </c>
      <c r="I232" s="5">
        <v>1178.1600000000001</v>
      </c>
      <c r="J232" s="5">
        <v>99.7</v>
      </c>
      <c r="K232" s="10">
        <f t="shared" si="6"/>
        <v>3.0090270812437028E-3</v>
      </c>
      <c r="L232" s="4">
        <v>790.82000700000003</v>
      </c>
      <c r="M232" s="10">
        <f t="shared" si="7"/>
        <v>-4.261401039642642E-2</v>
      </c>
      <c r="N232" s="11">
        <v>0.82960140000000004</v>
      </c>
    </row>
    <row r="233" spans="1:14" x14ac:dyDescent="0.2">
      <c r="A233" s="3" t="s">
        <v>239</v>
      </c>
      <c r="B233" s="4">
        <v>1631.2</v>
      </c>
      <c r="C233" s="4">
        <v>2420.1799999999998</v>
      </c>
      <c r="D233" s="4">
        <v>693.55</v>
      </c>
      <c r="E233" s="4">
        <v>7893.21</v>
      </c>
      <c r="F233" s="4">
        <v>19.21</v>
      </c>
      <c r="G233" s="4">
        <v>20.98</v>
      </c>
      <c r="H233" s="4">
        <v>5901.32</v>
      </c>
      <c r="I233" s="4">
        <v>1254.3399999999999</v>
      </c>
      <c r="J233" s="4">
        <v>100</v>
      </c>
      <c r="K233" s="10">
        <f t="shared" si="6"/>
        <v>1.4000000000000058E-2</v>
      </c>
      <c r="L233" s="4">
        <v>757.11999500000002</v>
      </c>
      <c r="M233" s="10">
        <f t="shared" si="7"/>
        <v>5.8405579422057062E-2</v>
      </c>
      <c r="N233" s="11">
        <v>0.79292969999999996</v>
      </c>
    </row>
    <row r="234" spans="1:14" x14ac:dyDescent="0.2">
      <c r="A234" s="3" t="s">
        <v>240</v>
      </c>
      <c r="B234" s="5">
        <v>1561.1</v>
      </c>
      <c r="C234" s="5">
        <v>2389.3200000000002</v>
      </c>
      <c r="D234" s="5">
        <v>641.61</v>
      </c>
      <c r="E234" s="5">
        <v>7313.14</v>
      </c>
      <c r="F234" s="5">
        <v>17.47</v>
      </c>
      <c r="G234" s="5">
        <v>19.71</v>
      </c>
      <c r="H234" s="5">
        <v>5707.59</v>
      </c>
      <c r="I234" s="5">
        <v>1240.02</v>
      </c>
      <c r="J234" s="5">
        <v>101.4</v>
      </c>
      <c r="K234" s="10">
        <f t="shared" si="6"/>
        <v>1.7751479289940801E-2</v>
      </c>
      <c r="L234" s="4">
        <v>801.34002699999996</v>
      </c>
      <c r="M234" s="10">
        <f t="shared" si="7"/>
        <v>5.8576884241924997E-2</v>
      </c>
      <c r="N234" s="11">
        <v>0.95911270000000004</v>
      </c>
    </row>
    <row r="235" spans="1:14" x14ac:dyDescent="0.2">
      <c r="A235" s="3" t="s">
        <v>241</v>
      </c>
      <c r="B235" s="4">
        <v>1625.4</v>
      </c>
      <c r="C235" s="4">
        <v>2513.3000000000002</v>
      </c>
      <c r="D235" s="4">
        <v>617.85</v>
      </c>
      <c r="E235" s="4">
        <v>7476</v>
      </c>
      <c r="F235" s="4">
        <v>19.14</v>
      </c>
      <c r="G235" s="4">
        <v>20.83</v>
      </c>
      <c r="H235" s="4">
        <v>5704.85</v>
      </c>
      <c r="I235" s="4">
        <v>1310.1300000000001</v>
      </c>
      <c r="J235" s="4">
        <v>103.2</v>
      </c>
      <c r="K235" s="10">
        <f t="shared" si="6"/>
        <v>1.2596899224806174E-2</v>
      </c>
      <c r="L235" s="4">
        <v>848.28002900000001</v>
      </c>
      <c r="M235" s="10">
        <f t="shared" si="7"/>
        <v>4.3452615574897539E-2</v>
      </c>
      <c r="N235" s="11">
        <v>0.82901599999999998</v>
      </c>
    </row>
    <row r="236" spans="1:14" x14ac:dyDescent="0.2">
      <c r="A236" s="3" t="s">
        <v>242</v>
      </c>
      <c r="B236" s="5">
        <v>1567.2</v>
      </c>
      <c r="C236" s="5">
        <v>2611.29</v>
      </c>
      <c r="D236" s="5">
        <v>614.04999999999995</v>
      </c>
      <c r="E236" s="5">
        <v>7060</v>
      </c>
      <c r="F236" s="5">
        <v>17.55</v>
      </c>
      <c r="G236" s="5">
        <v>19.170000000000002</v>
      </c>
      <c r="H236" s="5">
        <v>5560.29</v>
      </c>
      <c r="I236" s="5">
        <v>1354.98</v>
      </c>
      <c r="J236" s="5">
        <v>104.5</v>
      </c>
      <c r="K236" s="10">
        <f t="shared" si="6"/>
        <v>2.4880382775119562E-2</v>
      </c>
      <c r="L236" s="4">
        <v>885.14001499999995</v>
      </c>
      <c r="M236" s="10">
        <f t="shared" si="7"/>
        <v>7.8145809507888991E-2</v>
      </c>
      <c r="N236" s="11">
        <v>0.74209329999999996</v>
      </c>
    </row>
    <row r="237" spans="1:14" x14ac:dyDescent="0.2">
      <c r="A237" s="3" t="s">
        <v>243</v>
      </c>
      <c r="B237" s="4">
        <v>1591.6</v>
      </c>
      <c r="C237" s="4">
        <v>2449.1999999999998</v>
      </c>
      <c r="D237" s="4">
        <v>633.5</v>
      </c>
      <c r="E237" s="4">
        <v>6832.74</v>
      </c>
      <c r="F237" s="4">
        <v>18.43</v>
      </c>
      <c r="G237" s="4">
        <v>19.63</v>
      </c>
      <c r="H237" s="4">
        <v>5435.78</v>
      </c>
      <c r="I237" s="4">
        <v>1517.02</v>
      </c>
      <c r="J237" s="4">
        <v>107.1</v>
      </c>
      <c r="K237" s="10">
        <f t="shared" si="6"/>
        <v>-2.5210084033613342E-2</v>
      </c>
      <c r="L237" s="4">
        <v>954.30999799999995</v>
      </c>
      <c r="M237" s="10">
        <f t="shared" si="7"/>
        <v>-5.7465631833399242E-2</v>
      </c>
      <c r="N237" s="11">
        <v>0.54599260000000005</v>
      </c>
    </row>
    <row r="238" spans="1:14" x14ac:dyDescent="0.2">
      <c r="A238" s="3" t="s">
        <v>244</v>
      </c>
      <c r="B238" s="5">
        <v>1710</v>
      </c>
      <c r="C238" s="5">
        <v>2250.1</v>
      </c>
      <c r="D238" s="5">
        <v>607.38</v>
      </c>
      <c r="E238" s="5">
        <v>6764.45</v>
      </c>
      <c r="F238" s="5">
        <v>18.690000000000001</v>
      </c>
      <c r="G238" s="5">
        <v>19.920000000000002</v>
      </c>
      <c r="H238" s="5">
        <v>5423.3</v>
      </c>
      <c r="I238" s="5">
        <v>1650.63</v>
      </c>
      <c r="J238" s="5">
        <v>104.4</v>
      </c>
      <c r="K238" s="10">
        <f t="shared" si="6"/>
        <v>1.5325670498084237E-2</v>
      </c>
      <c r="L238" s="4">
        <v>899.46997099999999</v>
      </c>
      <c r="M238" s="10">
        <f t="shared" si="7"/>
        <v>5.3153589937912478E-2</v>
      </c>
      <c r="N238" s="11">
        <v>0.65388329999999995</v>
      </c>
    </row>
    <row r="239" spans="1:14" x14ac:dyDescent="0.2">
      <c r="A239" s="3" t="s">
        <v>245</v>
      </c>
      <c r="B239" s="4">
        <v>1611.6</v>
      </c>
      <c r="C239" s="4">
        <v>2104.31</v>
      </c>
      <c r="D239" s="4">
        <v>632.88</v>
      </c>
      <c r="E239" s="4">
        <v>6498.29</v>
      </c>
      <c r="F239" s="4">
        <v>18.45</v>
      </c>
      <c r="G239" s="4">
        <v>19.77</v>
      </c>
      <c r="H239" s="4">
        <v>5493.48</v>
      </c>
      <c r="I239" s="4">
        <v>1638.29</v>
      </c>
      <c r="J239" s="4">
        <v>106</v>
      </c>
      <c r="K239" s="10">
        <f t="shared" si="6"/>
        <v>-3.7735849056604312E-3</v>
      </c>
      <c r="L239" s="4">
        <v>947.28002900000001</v>
      </c>
      <c r="M239" s="10">
        <f t="shared" si="7"/>
        <v>-3.4477697196337698E-2</v>
      </c>
      <c r="N239" s="11">
        <v>0.77910330000000005</v>
      </c>
    </row>
    <row r="240" spans="1:14" x14ac:dyDescent="0.2">
      <c r="A240" s="3" t="s">
        <v>246</v>
      </c>
      <c r="B240" s="5">
        <v>1607.3</v>
      </c>
      <c r="C240" s="5">
        <v>2050.6999999999998</v>
      </c>
      <c r="D240" s="5">
        <v>598.20000000000005</v>
      </c>
      <c r="E240" s="5">
        <v>6373.48</v>
      </c>
      <c r="F240" s="5">
        <v>20.05</v>
      </c>
      <c r="G240" s="5">
        <v>21.25</v>
      </c>
      <c r="H240" s="5">
        <v>5556.52</v>
      </c>
      <c r="I240" s="5">
        <v>1276.67</v>
      </c>
      <c r="J240" s="5">
        <v>105.6</v>
      </c>
      <c r="K240" s="10">
        <f t="shared" si="6"/>
        <v>1.5151515151515233E-2</v>
      </c>
      <c r="L240" s="4">
        <v>914.61999500000002</v>
      </c>
      <c r="M240" s="10">
        <f t="shared" si="7"/>
        <v>4.4586854893763843E-2</v>
      </c>
      <c r="N240" s="11">
        <v>0.58851609999999999</v>
      </c>
    </row>
    <row r="241" spans="1:14" x14ac:dyDescent="0.2">
      <c r="A241" s="3" t="s">
        <v>247</v>
      </c>
      <c r="B241" s="4">
        <v>1598.3</v>
      </c>
      <c r="C241" s="4">
        <v>1918.5</v>
      </c>
      <c r="D241" s="4">
        <v>562.6</v>
      </c>
      <c r="E241" s="4">
        <v>6137.25</v>
      </c>
      <c r="F241" s="4">
        <v>19</v>
      </c>
      <c r="G241" s="4">
        <v>20.100000000000001</v>
      </c>
      <c r="H241" s="4">
        <v>5651</v>
      </c>
      <c r="I241" s="4">
        <v>1171.1500000000001</v>
      </c>
      <c r="J241" s="4">
        <v>107.2</v>
      </c>
      <c r="K241" s="10">
        <f t="shared" si="6"/>
        <v>-4.7574626865671717E-2</v>
      </c>
      <c r="L241" s="4">
        <v>955.40002400000003</v>
      </c>
      <c r="M241" s="10">
        <f t="shared" si="7"/>
        <v>1.5731597888257891E-2</v>
      </c>
      <c r="N241" s="11">
        <v>0.62257010000000002</v>
      </c>
    </row>
    <row r="242" spans="1:14" x14ac:dyDescent="0.2">
      <c r="A242" s="3" t="s">
        <v>248</v>
      </c>
      <c r="B242" s="5">
        <v>1530.5</v>
      </c>
      <c r="C242" s="5">
        <v>1761.45</v>
      </c>
      <c r="D242" s="5">
        <v>525.74</v>
      </c>
      <c r="E242" s="5">
        <v>5942.38</v>
      </c>
      <c r="F242" s="5">
        <v>17.100000000000001</v>
      </c>
      <c r="G242" s="5">
        <v>18.3</v>
      </c>
      <c r="H242" s="5">
        <v>5506.19</v>
      </c>
      <c r="I242" s="5">
        <v>1101.26</v>
      </c>
      <c r="J242" s="5">
        <v>102.1</v>
      </c>
      <c r="K242" s="10">
        <f t="shared" si="6"/>
        <v>4.4074436826640549E-2</v>
      </c>
      <c r="L242" s="4">
        <v>970.42999299999997</v>
      </c>
      <c r="M242" s="10">
        <f t="shared" si="7"/>
        <v>1.0150176798997644E-2</v>
      </c>
      <c r="N242" s="11">
        <v>0.66042230000000002</v>
      </c>
    </row>
    <row r="243" spans="1:14" x14ac:dyDescent="0.2">
      <c r="A243" s="3" t="s">
        <v>249</v>
      </c>
      <c r="B243" s="4">
        <v>1485.5</v>
      </c>
      <c r="C243" s="4">
        <v>1687.6</v>
      </c>
      <c r="D243" s="4">
        <v>530.65</v>
      </c>
      <c r="E243" s="4">
        <v>5489</v>
      </c>
      <c r="F243" s="4">
        <v>15.09</v>
      </c>
      <c r="G243" s="4">
        <v>16.7</v>
      </c>
      <c r="H243" s="4">
        <v>5200.5</v>
      </c>
      <c r="I243" s="4">
        <v>1096.25</v>
      </c>
      <c r="J243" s="4">
        <v>106.6</v>
      </c>
      <c r="K243" s="10">
        <f t="shared" si="6"/>
        <v>3.5647279549718684E-2</v>
      </c>
      <c r="L243" s="4">
        <v>980.28002900000001</v>
      </c>
      <c r="M243" s="10">
        <f t="shared" si="7"/>
        <v>7.044919304379707E-2</v>
      </c>
      <c r="N243" s="11">
        <v>0.62338789999999999</v>
      </c>
    </row>
    <row r="244" spans="1:14" x14ac:dyDescent="0.2">
      <c r="A244" s="3" t="s">
        <v>250</v>
      </c>
      <c r="B244" s="5">
        <v>1465.2</v>
      </c>
      <c r="C244" s="5">
        <v>1664</v>
      </c>
      <c r="D244" s="5">
        <v>515.63</v>
      </c>
      <c r="E244" s="5">
        <v>5367.25</v>
      </c>
      <c r="F244" s="5">
        <v>14.06</v>
      </c>
      <c r="G244" s="5">
        <v>16.059999999999999</v>
      </c>
      <c r="H244" s="5">
        <v>5236.5</v>
      </c>
      <c r="I244" s="5">
        <v>1043.2</v>
      </c>
      <c r="J244" s="5">
        <v>110.4</v>
      </c>
      <c r="K244" s="10">
        <f t="shared" si="6"/>
        <v>-3.5326086956521792E-2</v>
      </c>
      <c r="L244" s="4">
        <v>1049.339966</v>
      </c>
      <c r="M244" s="10">
        <f t="shared" si="7"/>
        <v>4.9945714161429351E-2</v>
      </c>
      <c r="N244" s="11">
        <v>0.43438199999999999</v>
      </c>
    </row>
    <row r="245" spans="1:14" x14ac:dyDescent="0.2">
      <c r="A245" s="3" t="s">
        <v>251</v>
      </c>
      <c r="B245" s="4">
        <v>1438.3</v>
      </c>
      <c r="C245" s="4">
        <v>1747.16</v>
      </c>
      <c r="D245" s="4">
        <v>558.98</v>
      </c>
      <c r="E245" s="4">
        <v>5397.05</v>
      </c>
      <c r="F245" s="4">
        <v>13.08</v>
      </c>
      <c r="G245" s="4">
        <v>15.11</v>
      </c>
      <c r="H245" s="4">
        <v>5468.64</v>
      </c>
      <c r="I245" s="4">
        <v>1046.75</v>
      </c>
      <c r="J245" s="4">
        <v>106.5</v>
      </c>
      <c r="K245" s="10">
        <f t="shared" si="6"/>
        <v>2.0657276995305191E-2</v>
      </c>
      <c r="L245" s="4">
        <v>1101.75</v>
      </c>
      <c r="M245" s="10">
        <f t="shared" si="7"/>
        <v>9.0764692534604039E-3</v>
      </c>
      <c r="N245" s="11">
        <v>0.36553940000000001</v>
      </c>
    </row>
    <row r="246" spans="1:14" x14ac:dyDescent="0.2">
      <c r="A246" s="3" t="s">
        <v>252</v>
      </c>
      <c r="B246" s="5">
        <v>1417.6</v>
      </c>
      <c r="C246" s="5">
        <v>1800.13</v>
      </c>
      <c r="D246" s="5">
        <v>571.78</v>
      </c>
      <c r="E246" s="5">
        <v>5391</v>
      </c>
      <c r="F246" s="5">
        <v>13.39</v>
      </c>
      <c r="G246" s="5">
        <v>15.32</v>
      </c>
      <c r="H246" s="5">
        <v>5707</v>
      </c>
      <c r="I246" s="5">
        <v>1096.18</v>
      </c>
      <c r="J246" s="5">
        <v>108.7</v>
      </c>
      <c r="K246" s="10">
        <f t="shared" si="6"/>
        <v>-2.0239190432382731E-2</v>
      </c>
      <c r="L246" s="4">
        <v>1111.75</v>
      </c>
      <c r="M246" s="10">
        <f t="shared" si="7"/>
        <v>-1.8826223521475085E-2</v>
      </c>
      <c r="N246" s="11">
        <v>6.5920800000000002E-2</v>
      </c>
    </row>
    <row r="247" spans="1:14" x14ac:dyDescent="0.2">
      <c r="A247" s="3" t="s">
        <v>253</v>
      </c>
      <c r="B247" s="4">
        <v>1364.3</v>
      </c>
      <c r="C247" s="4">
        <v>1731.66</v>
      </c>
      <c r="D247" s="4">
        <v>542.74</v>
      </c>
      <c r="E247" s="4">
        <v>5016.84</v>
      </c>
      <c r="F247" s="4">
        <v>14.39</v>
      </c>
      <c r="G247" s="4">
        <v>14.9</v>
      </c>
      <c r="H247" s="4">
        <v>5868.16</v>
      </c>
      <c r="I247" s="4">
        <v>1060.3699999999999</v>
      </c>
      <c r="J247" s="4">
        <v>106.5</v>
      </c>
      <c r="K247" s="10">
        <f t="shared" si="6"/>
        <v>-8.4507042253521656E-3</v>
      </c>
      <c r="L247" s="4">
        <v>1090.8199460000001</v>
      </c>
      <c r="M247" s="10">
        <f t="shared" si="7"/>
        <v>3.9438241075214008E-2</v>
      </c>
      <c r="N247" s="11">
        <v>0.18745139999999999</v>
      </c>
    </row>
    <row r="248" spans="1:14" x14ac:dyDescent="0.2">
      <c r="A248" s="3" t="s">
        <v>254</v>
      </c>
      <c r="B248" s="5">
        <v>1305.5</v>
      </c>
      <c r="C248" s="5">
        <v>1656.6</v>
      </c>
      <c r="D248" s="5">
        <v>526.48</v>
      </c>
      <c r="E248" s="5">
        <v>4456.8999999999996</v>
      </c>
      <c r="F248" s="5">
        <v>12.06</v>
      </c>
      <c r="G248" s="5">
        <v>13.71</v>
      </c>
      <c r="H248" s="5">
        <v>5967.86</v>
      </c>
      <c r="I248" s="5">
        <v>1007.6</v>
      </c>
      <c r="J248" s="5">
        <v>105.6</v>
      </c>
      <c r="K248" s="10">
        <f t="shared" si="6"/>
        <v>-3.7878787878787073E-3</v>
      </c>
      <c r="L248" s="4">
        <v>1133.839966</v>
      </c>
      <c r="M248" s="10">
        <f t="shared" si="7"/>
        <v>-1.1615327025789495E-2</v>
      </c>
      <c r="N248" s="11">
        <v>0.13684750000000001</v>
      </c>
    </row>
    <row r="249" spans="1:14" x14ac:dyDescent="0.2">
      <c r="A249" s="3" t="s">
        <v>255</v>
      </c>
      <c r="B249" s="4">
        <v>1312.7</v>
      </c>
      <c r="C249" s="4">
        <v>1655.67</v>
      </c>
      <c r="D249" s="4">
        <v>543.64</v>
      </c>
      <c r="E249" s="4">
        <v>4332.62</v>
      </c>
      <c r="F249" s="4">
        <v>12.04</v>
      </c>
      <c r="G249" s="4">
        <v>14.12</v>
      </c>
      <c r="H249" s="4">
        <v>5651.19</v>
      </c>
      <c r="I249" s="4">
        <v>1043.5</v>
      </c>
      <c r="J249" s="4">
        <v>105.2</v>
      </c>
      <c r="K249" s="10">
        <f t="shared" si="6"/>
        <v>-7.6045627376425586E-3</v>
      </c>
      <c r="L249" s="4">
        <v>1120.670044</v>
      </c>
      <c r="M249" s="10">
        <f t="shared" si="7"/>
        <v>-0.14579671855670656</v>
      </c>
      <c r="N249" s="11">
        <v>0.27741349999999998</v>
      </c>
    </row>
    <row r="250" spans="1:14" x14ac:dyDescent="0.2">
      <c r="A250" s="3" t="s">
        <v>256</v>
      </c>
      <c r="B250" s="5">
        <v>1310.5999999999999</v>
      </c>
      <c r="C250" s="5">
        <v>1619.93</v>
      </c>
      <c r="D250" s="5">
        <v>526.85</v>
      </c>
      <c r="E250" s="5">
        <v>4078</v>
      </c>
      <c r="F250" s="5">
        <v>11.88</v>
      </c>
      <c r="G250" s="5">
        <v>13.4</v>
      </c>
      <c r="H250" s="5">
        <v>5690.26</v>
      </c>
      <c r="I250" s="5">
        <v>1029.05</v>
      </c>
      <c r="J250" s="5">
        <v>104.4</v>
      </c>
      <c r="K250" s="10">
        <f t="shared" si="6"/>
        <v>-3.3524904214559385E-2</v>
      </c>
      <c r="L250" s="4">
        <v>957.28002900000001</v>
      </c>
      <c r="M250" s="10">
        <f t="shared" si="7"/>
        <v>6.2395515617718951E-2</v>
      </c>
      <c r="N250" s="11">
        <v>0.3461747</v>
      </c>
    </row>
    <row r="251" spans="1:14" x14ac:dyDescent="0.2">
      <c r="A251" s="3" t="s">
        <v>257</v>
      </c>
      <c r="B251" s="4">
        <v>1341.9</v>
      </c>
      <c r="C251" s="4">
        <v>1646.77</v>
      </c>
      <c r="D251" s="4">
        <v>519.45000000000005</v>
      </c>
      <c r="E251" s="4">
        <v>4100.91</v>
      </c>
      <c r="F251" s="4">
        <v>13.36</v>
      </c>
      <c r="G251" s="4">
        <v>14.98</v>
      </c>
      <c r="H251" s="4">
        <v>5479.77</v>
      </c>
      <c r="I251" s="4">
        <v>999.64</v>
      </c>
      <c r="J251" s="4">
        <v>100.9</v>
      </c>
      <c r="K251" s="10">
        <f t="shared" si="6"/>
        <v>-3.4687809712586719E-2</v>
      </c>
      <c r="L251" s="4">
        <v>1017.01001</v>
      </c>
      <c r="M251" s="10">
        <f t="shared" si="7"/>
        <v>8.0294228372442475E-2</v>
      </c>
      <c r="N251" s="11">
        <v>0.28664580000000001</v>
      </c>
    </row>
    <row r="252" spans="1:14" x14ac:dyDescent="0.2">
      <c r="A252" s="3" t="s">
        <v>258</v>
      </c>
      <c r="B252" s="5">
        <v>1303.7</v>
      </c>
      <c r="C252" s="5">
        <v>1585.5</v>
      </c>
      <c r="D252" s="5">
        <v>493.2</v>
      </c>
      <c r="E252" s="5">
        <v>3870.45</v>
      </c>
      <c r="F252" s="5">
        <v>12.56</v>
      </c>
      <c r="G252" s="5">
        <v>14.42</v>
      </c>
      <c r="H252" s="5">
        <v>5424.5</v>
      </c>
      <c r="I252" s="5">
        <v>941.36</v>
      </c>
      <c r="J252" s="5">
        <v>97.4</v>
      </c>
      <c r="K252" s="10">
        <f t="shared" si="6"/>
        <v>5.441478439425048E-2</v>
      </c>
      <c r="L252" s="4">
        <v>1098.670044</v>
      </c>
      <c r="M252" s="10">
        <f t="shared" si="7"/>
        <v>5.9125996339625349E-2</v>
      </c>
      <c r="N252" s="11">
        <v>0.18395500000000001</v>
      </c>
    </row>
    <row r="253" spans="1:14" x14ac:dyDescent="0.2">
      <c r="A253" s="3" t="s">
        <v>259</v>
      </c>
      <c r="B253" s="4">
        <v>1295.3</v>
      </c>
      <c r="C253" s="4">
        <v>1573.72</v>
      </c>
      <c r="D253" s="4">
        <v>493.02</v>
      </c>
      <c r="E253" s="4">
        <v>4117.25</v>
      </c>
      <c r="F253" s="4">
        <v>10.92</v>
      </c>
      <c r="G253" s="4">
        <v>12.96</v>
      </c>
      <c r="H253" s="4">
        <v>5478</v>
      </c>
      <c r="I253" s="4">
        <v>965.95</v>
      </c>
      <c r="J253" s="4">
        <v>102.7</v>
      </c>
      <c r="K253" s="10">
        <f t="shared" si="6"/>
        <v>-2.1421616358325245E-2</v>
      </c>
      <c r="L253" s="4">
        <v>1163.630005</v>
      </c>
      <c r="M253" s="10">
        <f t="shared" si="7"/>
        <v>5.6375286575735976E-2</v>
      </c>
      <c r="N253" s="11">
        <v>-2.4204999999999999E-3</v>
      </c>
    </row>
    <row r="254" spans="1:14" x14ac:dyDescent="0.2">
      <c r="A254" s="3" t="s">
        <v>260</v>
      </c>
      <c r="B254" s="5">
        <v>1250.4000000000001</v>
      </c>
      <c r="C254" s="5">
        <v>1475.76</v>
      </c>
      <c r="D254" s="5">
        <v>500.61</v>
      </c>
      <c r="E254" s="5">
        <v>3865.76</v>
      </c>
      <c r="F254" s="5">
        <v>9.8000000000000007</v>
      </c>
      <c r="G254" s="5">
        <v>11.31</v>
      </c>
      <c r="H254" s="5">
        <v>5262.37</v>
      </c>
      <c r="I254" s="5">
        <v>961.58</v>
      </c>
      <c r="J254" s="5">
        <v>100.5</v>
      </c>
      <c r="K254" s="10">
        <f t="shared" si="6"/>
        <v>3.3830845771144334E-2</v>
      </c>
      <c r="L254" s="4">
        <v>1229.2299800000001</v>
      </c>
      <c r="M254" s="10">
        <f t="shared" si="7"/>
        <v>4.1009441536725193E-2</v>
      </c>
      <c r="N254" s="11">
        <v>-0.19871169999999999</v>
      </c>
    </row>
    <row r="255" spans="1:14" x14ac:dyDescent="0.2">
      <c r="A255" s="3" t="s">
        <v>261</v>
      </c>
      <c r="B255" s="4">
        <v>1219.4000000000001</v>
      </c>
      <c r="C255" s="4">
        <v>1432</v>
      </c>
      <c r="D255" s="4">
        <v>491.63</v>
      </c>
      <c r="E255" s="4">
        <v>4264</v>
      </c>
      <c r="F255" s="4">
        <v>10.95</v>
      </c>
      <c r="G255" s="4">
        <v>12.34</v>
      </c>
      <c r="H255" s="4">
        <v>5103</v>
      </c>
      <c r="I255" s="4">
        <v>931.75</v>
      </c>
      <c r="J255" s="4">
        <v>103.9</v>
      </c>
      <c r="K255" s="10">
        <f t="shared" si="6"/>
        <v>4.0423484119345411E-2</v>
      </c>
      <c r="L255" s="4">
        <v>1279.6400149999999</v>
      </c>
      <c r="M255" s="10">
        <f t="shared" si="7"/>
        <v>-3.2282562686194144E-2</v>
      </c>
      <c r="N255" s="11">
        <v>-0.18550949999999999</v>
      </c>
    </row>
    <row r="256" spans="1:14" x14ac:dyDescent="0.2">
      <c r="A256" s="3" t="s">
        <v>262</v>
      </c>
      <c r="B256" s="5">
        <v>1186.5</v>
      </c>
      <c r="C256" s="5">
        <v>1412.95</v>
      </c>
      <c r="D256" s="5">
        <v>512.95000000000005</v>
      </c>
      <c r="E256" s="5">
        <v>4623.25</v>
      </c>
      <c r="F256" s="5">
        <v>10.199999999999999</v>
      </c>
      <c r="G256" s="5">
        <v>11.99</v>
      </c>
      <c r="H256" s="5">
        <v>5262</v>
      </c>
      <c r="I256" s="5">
        <v>1017.6</v>
      </c>
      <c r="J256" s="5">
        <v>108.1</v>
      </c>
      <c r="K256" s="10">
        <f t="shared" si="6"/>
        <v>-2.2201665124884289E-2</v>
      </c>
      <c r="L256" s="4">
        <v>1238.329956</v>
      </c>
      <c r="M256" s="10">
        <f t="shared" si="7"/>
        <v>3.8794215360158806E-2</v>
      </c>
      <c r="N256" s="11">
        <v>-6.0554999999999998E-2</v>
      </c>
    </row>
    <row r="257" spans="1:14" x14ac:dyDescent="0.2">
      <c r="A257" s="3" t="s">
        <v>263</v>
      </c>
      <c r="B257" s="4">
        <v>1179.9000000000001</v>
      </c>
      <c r="C257" s="4">
        <v>1378.48</v>
      </c>
      <c r="D257" s="4">
        <v>506.8</v>
      </c>
      <c r="E257" s="4">
        <v>5002.95</v>
      </c>
      <c r="F257" s="4">
        <v>12.12</v>
      </c>
      <c r="G257" s="4">
        <v>14.36</v>
      </c>
      <c r="H257" s="4">
        <v>5292.95</v>
      </c>
      <c r="I257" s="4">
        <v>1028.8</v>
      </c>
      <c r="J257" s="4">
        <v>105.7</v>
      </c>
      <c r="K257" s="10">
        <f t="shared" si="6"/>
        <v>-1.0406811731315123E-2</v>
      </c>
      <c r="L257" s="4">
        <v>1286.369995</v>
      </c>
      <c r="M257" s="10">
        <f t="shared" si="7"/>
        <v>3.7944027915545332E-2</v>
      </c>
      <c r="N257" s="11">
        <v>-8.3698900000000007E-2</v>
      </c>
    </row>
    <row r="258" spans="1:14" x14ac:dyDescent="0.2">
      <c r="A258" s="3" t="s">
        <v>264</v>
      </c>
      <c r="B258" s="5">
        <v>1277.9000000000001</v>
      </c>
      <c r="C258" s="5">
        <v>1463.73</v>
      </c>
      <c r="D258" s="5">
        <v>517.08000000000004</v>
      </c>
      <c r="E258" s="5">
        <v>5054.75</v>
      </c>
      <c r="F258" s="5">
        <v>15.16</v>
      </c>
      <c r="G258" s="5">
        <v>17.23</v>
      </c>
      <c r="H258" s="5">
        <v>5381.75</v>
      </c>
      <c r="I258" s="5">
        <v>1018.18</v>
      </c>
      <c r="J258" s="5">
        <v>104.6</v>
      </c>
      <c r="K258" s="10">
        <f t="shared" si="6"/>
        <v>2.1032504780114751E-2</v>
      </c>
      <c r="L258" s="4">
        <v>1335.1800539999999</v>
      </c>
      <c r="M258" s="10">
        <f t="shared" si="7"/>
        <v>-2.4970480872686798E-2</v>
      </c>
      <c r="N258" s="11">
        <v>-0.1730835</v>
      </c>
    </row>
    <row r="259" spans="1:14" x14ac:dyDescent="0.2">
      <c r="A259" s="3" t="s">
        <v>265</v>
      </c>
      <c r="B259" s="4">
        <v>1323.1</v>
      </c>
      <c r="C259" s="4">
        <v>1510.45</v>
      </c>
      <c r="D259" s="4">
        <v>540.71</v>
      </c>
      <c r="E259" s="4">
        <v>5395.79</v>
      </c>
      <c r="F259" s="4">
        <v>15.22</v>
      </c>
      <c r="G259" s="4">
        <v>17.75</v>
      </c>
      <c r="H259" s="4">
        <v>5643.16</v>
      </c>
      <c r="I259" s="4">
        <v>1039.92</v>
      </c>
      <c r="J259" s="4">
        <v>106.8</v>
      </c>
      <c r="K259" s="10">
        <f t="shared" si="6"/>
        <v>4.6816479400749065E-3</v>
      </c>
      <c r="L259" s="4">
        <v>1301.839966</v>
      </c>
      <c r="M259" s="10">
        <f t="shared" si="7"/>
        <v>5.4438331016794128E-2</v>
      </c>
      <c r="N259" s="11">
        <v>-0.2054397</v>
      </c>
    </row>
    <row r="260" spans="1:14" x14ac:dyDescent="0.2">
      <c r="A260" s="3" t="s">
        <v>266</v>
      </c>
      <c r="B260" s="5">
        <v>1315.5</v>
      </c>
      <c r="C260" s="5">
        <v>1422.16</v>
      </c>
      <c r="D260" s="5">
        <v>495.45</v>
      </c>
      <c r="E260" s="5">
        <v>5194.7700000000004</v>
      </c>
      <c r="F260" s="5">
        <v>15.6</v>
      </c>
      <c r="G260" s="5">
        <v>17.72</v>
      </c>
      <c r="H260" s="5">
        <v>5262.73</v>
      </c>
      <c r="I260" s="5">
        <v>999.91</v>
      </c>
      <c r="J260" s="5">
        <v>107.3</v>
      </c>
      <c r="K260" s="10">
        <f t="shared" ref="K260:K323" si="8" xml:space="preserve"> (J261-J260)/J260</f>
        <v>-1.2115563839701745E-2</v>
      </c>
      <c r="L260" s="4">
        <v>1372.709961</v>
      </c>
      <c r="M260" s="10">
        <f t="shared" ref="M260:M323" si="9" xml:space="preserve"> (L261-L260)/L260</f>
        <v>-3.2046092218893742E-2</v>
      </c>
      <c r="N260" s="11">
        <v>-8.3544999999999994E-2</v>
      </c>
    </row>
    <row r="261" spans="1:14" x14ac:dyDescent="0.2">
      <c r="A261" s="3" t="s">
        <v>267</v>
      </c>
      <c r="B261" s="4">
        <v>1403.4</v>
      </c>
      <c r="C261" s="4">
        <v>1639.18</v>
      </c>
      <c r="D261" s="4">
        <v>495.11</v>
      </c>
      <c r="E261" s="4">
        <v>5696.36</v>
      </c>
      <c r="F261" s="4">
        <v>18.71</v>
      </c>
      <c r="G261" s="4">
        <v>19.89</v>
      </c>
      <c r="H261" s="4">
        <v>5210.45</v>
      </c>
      <c r="I261" s="4">
        <v>1071.23</v>
      </c>
      <c r="J261" s="4">
        <v>106</v>
      </c>
      <c r="K261" s="10">
        <f t="shared" si="8"/>
        <v>-1.4150943396226415E-2</v>
      </c>
      <c r="L261" s="4">
        <v>1328.719971</v>
      </c>
      <c r="M261" s="10">
        <f t="shared" si="9"/>
        <v>-6.2540920445004668E-3</v>
      </c>
      <c r="N261" s="11">
        <v>-0.14714260000000001</v>
      </c>
    </row>
    <row r="262" spans="1:14" x14ac:dyDescent="0.2">
      <c r="A262" s="3" t="s">
        <v>268</v>
      </c>
      <c r="B262" s="5">
        <v>1421.7</v>
      </c>
      <c r="C262" s="5">
        <v>1646.74</v>
      </c>
      <c r="D262" s="5">
        <v>502.24</v>
      </c>
      <c r="E262" s="5">
        <v>6431.43</v>
      </c>
      <c r="F262" s="5">
        <v>20.170000000000002</v>
      </c>
      <c r="G262" s="5">
        <v>21.17</v>
      </c>
      <c r="H262" s="5">
        <v>5224.29</v>
      </c>
      <c r="I262" s="5">
        <v>1129.69</v>
      </c>
      <c r="J262" s="5">
        <v>104.5</v>
      </c>
      <c r="K262" s="10">
        <f t="shared" si="8"/>
        <v>2.5837320574162707E-2</v>
      </c>
      <c r="L262" s="4">
        <v>1320.410034</v>
      </c>
      <c r="M262" s="10">
        <f t="shared" si="9"/>
        <v>-2.8551792268491635E-2</v>
      </c>
      <c r="N262" s="11">
        <v>-0.32581559999999998</v>
      </c>
    </row>
    <row r="263" spans="1:14" x14ac:dyDescent="0.2">
      <c r="A263" s="3" t="s">
        <v>269</v>
      </c>
      <c r="B263" s="4">
        <v>1492.1</v>
      </c>
      <c r="C263" s="4">
        <v>1749.68</v>
      </c>
      <c r="D263" s="4">
        <v>506.5</v>
      </c>
      <c r="E263" s="4">
        <v>7029.09</v>
      </c>
      <c r="F263" s="4">
        <v>22.11</v>
      </c>
      <c r="G263" s="4">
        <v>23.52</v>
      </c>
      <c r="H263" s="4">
        <v>5336.82</v>
      </c>
      <c r="I263" s="4">
        <v>1192.93</v>
      </c>
      <c r="J263" s="4">
        <v>107.2</v>
      </c>
      <c r="K263" s="10">
        <f t="shared" si="8"/>
        <v>-3.7313432835820892E-2</v>
      </c>
      <c r="L263" s="4">
        <v>1282.709961</v>
      </c>
      <c r="M263" s="10">
        <f t="shared" si="9"/>
        <v>6.2539541625965367E-2</v>
      </c>
      <c r="N263" s="11">
        <v>-0.12564710000000001</v>
      </c>
    </row>
    <row r="264" spans="1:14" x14ac:dyDescent="0.2">
      <c r="A264" s="3" t="s">
        <v>270</v>
      </c>
      <c r="B264" s="5">
        <v>1473.3</v>
      </c>
      <c r="C264" s="5">
        <v>1723.29</v>
      </c>
      <c r="D264" s="5">
        <v>496.4</v>
      </c>
      <c r="E264" s="5">
        <v>7317.62</v>
      </c>
      <c r="F264" s="5">
        <v>22.12</v>
      </c>
      <c r="G264" s="5">
        <v>22.94</v>
      </c>
      <c r="H264" s="5">
        <v>5425.24</v>
      </c>
      <c r="I264" s="5">
        <v>1147.98</v>
      </c>
      <c r="J264" s="5">
        <v>103.2</v>
      </c>
      <c r="K264" s="10">
        <f t="shared" si="8"/>
        <v>3.875968992248062E-2</v>
      </c>
      <c r="L264" s="4">
        <v>1362.9300539999999</v>
      </c>
      <c r="M264" s="10">
        <f t="shared" si="9"/>
        <v>1.9061858621249591E-2</v>
      </c>
      <c r="N264" s="11">
        <v>-0.2091422</v>
      </c>
    </row>
    <row r="265" spans="1:14" x14ac:dyDescent="0.2">
      <c r="A265" s="3" t="s">
        <v>271</v>
      </c>
      <c r="B265" s="4">
        <v>1472.4</v>
      </c>
      <c r="C265" s="4">
        <v>1726.77</v>
      </c>
      <c r="D265" s="4">
        <v>477.57</v>
      </c>
      <c r="E265" s="4">
        <v>7946.82</v>
      </c>
      <c r="F265" s="4">
        <v>24.55</v>
      </c>
      <c r="G265" s="4">
        <v>25.06</v>
      </c>
      <c r="H265" s="4">
        <v>5835.23</v>
      </c>
      <c r="I265" s="4">
        <v>1146.3900000000001</v>
      </c>
      <c r="J265" s="4">
        <v>107.2</v>
      </c>
      <c r="K265" s="10">
        <f t="shared" si="8"/>
        <v>-1.6791044776119375E-2</v>
      </c>
      <c r="L265" s="4">
        <v>1388.910034</v>
      </c>
      <c r="M265" s="10">
        <f t="shared" si="9"/>
        <v>5.784389487677933E-2</v>
      </c>
      <c r="N265" s="11">
        <v>-5.7440100000000001E-2</v>
      </c>
    </row>
    <row r="266" spans="1:14" x14ac:dyDescent="0.2">
      <c r="A266" s="3" t="s">
        <v>272</v>
      </c>
      <c r="B266" s="5">
        <v>1554.7</v>
      </c>
      <c r="C266" s="5">
        <v>1764.88</v>
      </c>
      <c r="D266" s="5">
        <v>478.74</v>
      </c>
      <c r="E266" s="5">
        <v>8073.24</v>
      </c>
      <c r="F266" s="5">
        <v>25.48</v>
      </c>
      <c r="G266" s="5">
        <v>26.02</v>
      </c>
      <c r="H266" s="5">
        <v>5719.12</v>
      </c>
      <c r="I266" s="5">
        <v>1185.24</v>
      </c>
      <c r="J266" s="5">
        <v>105.4</v>
      </c>
      <c r="K266" s="10">
        <f t="shared" si="8"/>
        <v>6.2618595825426893E-2</v>
      </c>
      <c r="L266" s="4">
        <v>1469.25</v>
      </c>
      <c r="M266" s="10">
        <f t="shared" si="9"/>
        <v>-5.0903548749361906E-2</v>
      </c>
      <c r="N266" s="11">
        <v>0.20192689999999999</v>
      </c>
    </row>
    <row r="267" spans="1:14" x14ac:dyDescent="0.2">
      <c r="A267" s="3" t="s">
        <v>273</v>
      </c>
      <c r="B267" s="4">
        <v>1679.9</v>
      </c>
      <c r="C267" s="4">
        <v>1843.85</v>
      </c>
      <c r="D267" s="4">
        <v>471.88</v>
      </c>
      <c r="E267" s="4">
        <v>8315.25</v>
      </c>
      <c r="F267" s="4">
        <v>25.22</v>
      </c>
      <c r="G267" s="4">
        <v>27.24</v>
      </c>
      <c r="H267" s="4">
        <v>5926.25</v>
      </c>
      <c r="I267" s="4">
        <v>1178.58</v>
      </c>
      <c r="J267" s="4">
        <v>112</v>
      </c>
      <c r="K267" s="10">
        <f t="shared" si="8"/>
        <v>-6.2500000000000255E-3</v>
      </c>
      <c r="L267" s="4">
        <v>1394.459961</v>
      </c>
      <c r="M267" s="10">
        <f t="shared" si="9"/>
        <v>-2.0108083261058264E-2</v>
      </c>
      <c r="N267" s="11">
        <v>0.54785720000000004</v>
      </c>
    </row>
    <row r="268" spans="1:14" x14ac:dyDescent="0.2">
      <c r="A268" s="3" t="s">
        <v>274</v>
      </c>
      <c r="B268" s="5">
        <v>1679.4</v>
      </c>
      <c r="C268" s="5">
        <v>1807.03</v>
      </c>
      <c r="D268" s="5">
        <v>453.25</v>
      </c>
      <c r="E268" s="5">
        <v>9583.75</v>
      </c>
      <c r="F268" s="5">
        <v>27.63</v>
      </c>
      <c r="G268" s="5">
        <v>29.21</v>
      </c>
      <c r="H268" s="5">
        <v>5669</v>
      </c>
      <c r="I268" s="5">
        <v>1098.25</v>
      </c>
      <c r="J268" s="5">
        <v>111.3</v>
      </c>
      <c r="K268" s="10">
        <f t="shared" si="8"/>
        <v>-3.77358490566038E-2</v>
      </c>
      <c r="L268" s="4">
        <v>1366.420044</v>
      </c>
      <c r="M268" s="10">
        <f t="shared" si="9"/>
        <v>9.6719828269732314E-2</v>
      </c>
      <c r="N268" s="11">
        <v>0.49911280000000002</v>
      </c>
    </row>
    <row r="269" spans="1:14" x14ac:dyDescent="0.2">
      <c r="A269" s="3" t="s">
        <v>275</v>
      </c>
      <c r="B269" s="4">
        <v>1579.6</v>
      </c>
      <c r="C269" s="4">
        <v>1739.8</v>
      </c>
      <c r="D269" s="4">
        <v>441.84</v>
      </c>
      <c r="E269" s="4">
        <v>10255.4</v>
      </c>
      <c r="F269" s="4">
        <v>27.47</v>
      </c>
      <c r="G269" s="4">
        <v>29.92</v>
      </c>
      <c r="H269" s="4">
        <v>5463.8</v>
      </c>
      <c r="I269" s="4">
        <v>1113</v>
      </c>
      <c r="J269" s="4">
        <v>107.1</v>
      </c>
      <c r="K269" s="10">
        <f t="shared" si="8"/>
        <v>1.9607843137254981E-2</v>
      </c>
      <c r="L269" s="4">
        <v>1498.579956</v>
      </c>
      <c r="M269" s="10">
        <f t="shared" si="9"/>
        <v>-3.0795755551931397E-2</v>
      </c>
      <c r="N269" s="11">
        <v>0.85342249999999997</v>
      </c>
    </row>
    <row r="270" spans="1:14" x14ac:dyDescent="0.2">
      <c r="A270" s="3" t="s">
        <v>276</v>
      </c>
      <c r="B270" s="5">
        <v>1458.7</v>
      </c>
      <c r="C270" s="5">
        <v>1681.91</v>
      </c>
      <c r="D270" s="5">
        <v>423.02</v>
      </c>
      <c r="E270" s="5">
        <v>9746.5</v>
      </c>
      <c r="F270" s="5">
        <v>22.54</v>
      </c>
      <c r="G270" s="5">
        <v>25.78</v>
      </c>
      <c r="H270" s="5">
        <v>5398.05</v>
      </c>
      <c r="I270" s="5">
        <v>1132.52</v>
      </c>
      <c r="J270" s="5">
        <v>109.2</v>
      </c>
      <c r="K270" s="10">
        <f t="shared" si="8"/>
        <v>1.3736263736263736E-2</v>
      </c>
      <c r="L270" s="4">
        <v>1452.4300539999999</v>
      </c>
      <c r="M270" s="10">
        <f t="shared" si="9"/>
        <v>-2.1915050512993556E-2</v>
      </c>
      <c r="N270" s="11">
        <v>0.39930199999999999</v>
      </c>
    </row>
    <row r="271" spans="1:14" x14ac:dyDescent="0.2">
      <c r="A271" s="3" t="s">
        <v>277</v>
      </c>
      <c r="B271" s="4">
        <v>1468.1</v>
      </c>
      <c r="C271" s="4">
        <v>1785.1</v>
      </c>
      <c r="D271" s="4">
        <v>412.61</v>
      </c>
      <c r="E271" s="4">
        <v>10122.9</v>
      </c>
      <c r="F271" s="4">
        <v>27.4</v>
      </c>
      <c r="G271" s="4">
        <v>28.78</v>
      </c>
      <c r="H271" s="4">
        <v>5437.96</v>
      </c>
      <c r="I271" s="4">
        <v>1154.07</v>
      </c>
      <c r="J271" s="4">
        <v>110.7</v>
      </c>
      <c r="K271" s="10">
        <f t="shared" si="8"/>
        <v>-3.884372177055101E-2</v>
      </c>
      <c r="L271" s="4">
        <v>1420.599976</v>
      </c>
      <c r="M271" s="10">
        <f t="shared" si="9"/>
        <v>2.3933549608901303E-2</v>
      </c>
      <c r="N271" s="11">
        <v>0.67502830000000003</v>
      </c>
    </row>
    <row r="272" spans="1:14" x14ac:dyDescent="0.2">
      <c r="A272" s="3" t="s">
        <v>278</v>
      </c>
      <c r="B272" s="5">
        <v>1509.4</v>
      </c>
      <c r="C272" s="5">
        <v>1752.07</v>
      </c>
      <c r="D272" s="5">
        <v>419.55</v>
      </c>
      <c r="E272" s="5">
        <v>8384.32</v>
      </c>
      <c r="F272" s="5">
        <v>29.68</v>
      </c>
      <c r="G272" s="5">
        <v>31.86</v>
      </c>
      <c r="H272" s="5">
        <v>5461.18</v>
      </c>
      <c r="I272" s="5">
        <v>1116.19</v>
      </c>
      <c r="J272" s="5">
        <v>106.4</v>
      </c>
      <c r="K272" s="10">
        <f t="shared" si="8"/>
        <v>1.7857142857142776E-2</v>
      </c>
      <c r="L272" s="4">
        <v>1454.599976</v>
      </c>
      <c r="M272" s="10">
        <f t="shared" si="9"/>
        <v>-1.6341276221772696E-2</v>
      </c>
      <c r="N272" s="11">
        <v>0.87043349999999997</v>
      </c>
    </row>
    <row r="273" spans="1:14" x14ac:dyDescent="0.2">
      <c r="A273" s="3" t="s">
        <v>279</v>
      </c>
      <c r="B273" s="4">
        <v>1564.4</v>
      </c>
      <c r="C273" s="4">
        <v>1803.14</v>
      </c>
      <c r="D273" s="4">
        <v>453.1</v>
      </c>
      <c r="E273" s="4">
        <v>8174.81</v>
      </c>
      <c r="F273" s="4">
        <v>28.51</v>
      </c>
      <c r="G273" s="4">
        <v>29.97</v>
      </c>
      <c r="H273" s="4">
        <v>5329.76</v>
      </c>
      <c r="I273" s="4">
        <v>1135.9100000000001</v>
      </c>
      <c r="J273" s="4">
        <v>108.3</v>
      </c>
      <c r="K273" s="10">
        <f t="shared" si="8"/>
        <v>-9.2336103416435829E-3</v>
      </c>
      <c r="L273" s="4">
        <v>1430.829956</v>
      </c>
      <c r="M273" s="10">
        <f t="shared" si="9"/>
        <v>6.0699105184236081E-2</v>
      </c>
      <c r="N273" s="11">
        <v>1.1412420000000001</v>
      </c>
    </row>
    <row r="274" spans="1:14" x14ac:dyDescent="0.2">
      <c r="A274" s="3" t="s">
        <v>280</v>
      </c>
      <c r="B274" s="5">
        <v>1530.3</v>
      </c>
      <c r="C274" s="5">
        <v>1857.12</v>
      </c>
      <c r="D274" s="5">
        <v>472.57</v>
      </c>
      <c r="E274" s="5">
        <v>8038.43</v>
      </c>
      <c r="F274" s="5">
        <v>29.89</v>
      </c>
      <c r="G274" s="5">
        <v>31.31</v>
      </c>
      <c r="H274" s="5">
        <v>5314.35</v>
      </c>
      <c r="I274" s="5">
        <v>1172.55</v>
      </c>
      <c r="J274" s="5">
        <v>107.3</v>
      </c>
      <c r="K274" s="10">
        <f t="shared" si="8"/>
        <v>-4.6598322460391431E-3</v>
      </c>
      <c r="L274" s="4">
        <v>1517.6800539999999</v>
      </c>
      <c r="M274" s="10">
        <f t="shared" si="9"/>
        <v>-5.3482974745611284E-2</v>
      </c>
      <c r="N274" s="11">
        <v>1.129678</v>
      </c>
    </row>
    <row r="275" spans="1:14" x14ac:dyDescent="0.2">
      <c r="A275" s="3" t="s">
        <v>281</v>
      </c>
      <c r="B275" s="4">
        <v>1602.3</v>
      </c>
      <c r="C275" s="4">
        <v>1961.89</v>
      </c>
      <c r="D275" s="4">
        <v>488.05</v>
      </c>
      <c r="E275" s="4">
        <v>8624.81</v>
      </c>
      <c r="F275" s="4">
        <v>32.619999999999997</v>
      </c>
      <c r="G275" s="4">
        <v>33.89</v>
      </c>
      <c r="H275" s="4">
        <v>5471.81</v>
      </c>
      <c r="I275" s="4">
        <v>1221.67</v>
      </c>
      <c r="J275" s="4">
        <v>106.8</v>
      </c>
      <c r="K275" s="10">
        <f t="shared" si="8"/>
        <v>-9.3632958801498131E-3</v>
      </c>
      <c r="L275" s="4">
        <v>1436.51001</v>
      </c>
      <c r="M275" s="10">
        <f t="shared" si="9"/>
        <v>-4.9494858723608441E-3</v>
      </c>
      <c r="N275" s="11">
        <v>1.2254719999999999</v>
      </c>
    </row>
    <row r="276" spans="1:14" x14ac:dyDescent="0.2">
      <c r="A276" s="3" t="s">
        <v>282</v>
      </c>
      <c r="B276" s="5">
        <v>1501.2</v>
      </c>
      <c r="C276" s="5">
        <v>1894.37</v>
      </c>
      <c r="D276" s="5">
        <v>484.79</v>
      </c>
      <c r="E276" s="5">
        <v>7650.64</v>
      </c>
      <c r="F276" s="5">
        <v>30.93</v>
      </c>
      <c r="G276" s="5">
        <v>33.049999999999997</v>
      </c>
      <c r="H276" s="5">
        <v>5266.45</v>
      </c>
      <c r="I276" s="5">
        <v>1091.6099999999999</v>
      </c>
      <c r="J276" s="5">
        <v>105.8</v>
      </c>
      <c r="K276" s="10">
        <f t="shared" si="8"/>
        <v>1.7013232514177669E-2</v>
      </c>
      <c r="L276" s="4">
        <v>1429.400024</v>
      </c>
      <c r="M276" s="10">
        <f t="shared" si="9"/>
        <v>-8.0068609961069917E-2</v>
      </c>
      <c r="N276" s="11">
        <v>1.2676160000000001</v>
      </c>
    </row>
    <row r="277" spans="1:14" x14ac:dyDescent="0.2">
      <c r="A277" s="3" t="s">
        <v>283</v>
      </c>
      <c r="B277" s="4">
        <v>1475.6</v>
      </c>
      <c r="C277" s="4">
        <v>1795.6</v>
      </c>
      <c r="D277" s="4">
        <v>465.88</v>
      </c>
      <c r="E277" s="4">
        <v>7350.59</v>
      </c>
      <c r="F277" s="4">
        <v>32.520000000000003</v>
      </c>
      <c r="G277" s="4">
        <v>34.369999999999997</v>
      </c>
      <c r="H277" s="4">
        <v>5264.82</v>
      </c>
      <c r="I277" s="4">
        <v>1058.68</v>
      </c>
      <c r="J277" s="4">
        <v>107.6</v>
      </c>
      <c r="K277" s="10">
        <f t="shared" si="8"/>
        <v>-8.550185873605938E-2</v>
      </c>
      <c r="L277" s="4">
        <v>1314.9499510000001</v>
      </c>
      <c r="M277" s="10">
        <f t="shared" si="9"/>
        <v>4.0534455291979079E-3</v>
      </c>
      <c r="N277" s="11">
        <v>1.7254689999999999</v>
      </c>
    </row>
    <row r="278" spans="1:14" x14ac:dyDescent="0.2">
      <c r="A278" s="3" t="s">
        <v>284</v>
      </c>
      <c r="B278" s="5">
        <v>1569.1</v>
      </c>
      <c r="C278" s="5">
        <v>1852.4</v>
      </c>
      <c r="D278" s="5">
        <v>463.53</v>
      </c>
      <c r="E278" s="5">
        <v>7318.8</v>
      </c>
      <c r="F278" s="5">
        <v>25.28</v>
      </c>
      <c r="G278" s="5">
        <v>28.4</v>
      </c>
      <c r="H278" s="5">
        <v>5227.3999999999996</v>
      </c>
      <c r="I278" s="5">
        <v>1059.33</v>
      </c>
      <c r="J278" s="5">
        <v>98.4</v>
      </c>
      <c r="K278" s="10">
        <f t="shared" si="8"/>
        <v>-3.7601626016260187E-2</v>
      </c>
      <c r="L278" s="4">
        <v>1320.280029</v>
      </c>
      <c r="M278" s="10">
        <f t="shared" si="9"/>
        <v>3.4636577086329577E-2</v>
      </c>
      <c r="N278" s="11">
        <v>1.9844219999999999</v>
      </c>
    </row>
    <row r="279" spans="1:14" x14ac:dyDescent="0.2">
      <c r="A279" s="3" t="s">
        <v>285</v>
      </c>
      <c r="B279" s="4">
        <v>1619.9</v>
      </c>
      <c r="C279" s="4">
        <v>1787.06</v>
      </c>
      <c r="D279" s="4">
        <v>478.54</v>
      </c>
      <c r="E279" s="4">
        <v>6975.91</v>
      </c>
      <c r="F279" s="4">
        <v>25.64</v>
      </c>
      <c r="G279" s="4">
        <v>29.52</v>
      </c>
      <c r="H279" s="4">
        <v>5168.5</v>
      </c>
      <c r="I279" s="4">
        <v>1032.7</v>
      </c>
      <c r="J279" s="4">
        <v>94.7</v>
      </c>
      <c r="K279" s="10">
        <f t="shared" si="8"/>
        <v>-4.3294614572333773E-2</v>
      </c>
      <c r="L279" s="4">
        <v>1366.01001</v>
      </c>
      <c r="M279" s="10">
        <f t="shared" si="9"/>
        <v>-9.2290735849000022E-2</v>
      </c>
      <c r="N279" s="11">
        <v>2.1954020000000001</v>
      </c>
    </row>
    <row r="280" spans="1:14" x14ac:dyDescent="0.2">
      <c r="A280" s="3" t="s">
        <v>286</v>
      </c>
      <c r="B280" s="5">
        <v>1607</v>
      </c>
      <c r="C280" s="5">
        <v>1766.13</v>
      </c>
      <c r="D280" s="5">
        <v>501.71</v>
      </c>
      <c r="E280" s="5">
        <v>6546.8</v>
      </c>
      <c r="F280" s="5">
        <v>27.41</v>
      </c>
      <c r="G280" s="5">
        <v>29.57</v>
      </c>
      <c r="H280" s="5">
        <v>5121.25</v>
      </c>
      <c r="I280" s="5">
        <v>1021.58</v>
      </c>
      <c r="J280" s="5">
        <v>90.6</v>
      </c>
      <c r="K280" s="10">
        <f t="shared" si="8"/>
        <v>9.933774834437149E-3</v>
      </c>
      <c r="L280" s="4">
        <v>1239.9399410000001</v>
      </c>
      <c r="M280" s="10">
        <f t="shared" si="9"/>
        <v>-6.4204710540895507E-2</v>
      </c>
      <c r="N280" s="11">
        <v>2.836741</v>
      </c>
    </row>
    <row r="281" spans="1:14" x14ac:dyDescent="0.2">
      <c r="A281" s="3" t="s">
        <v>287</v>
      </c>
      <c r="B281" s="4">
        <v>1512.2</v>
      </c>
      <c r="C281" s="4">
        <v>1742.16</v>
      </c>
      <c r="D281" s="4">
        <v>498.85</v>
      </c>
      <c r="E281" s="4">
        <v>6165.18</v>
      </c>
      <c r="F281" s="4">
        <v>24.4</v>
      </c>
      <c r="G281" s="4">
        <v>27.24</v>
      </c>
      <c r="H281" s="4">
        <v>5049.6400000000003</v>
      </c>
      <c r="I281" s="4">
        <v>1005.62</v>
      </c>
      <c r="J281" s="4">
        <v>91.5</v>
      </c>
      <c r="K281" s="10">
        <f t="shared" si="8"/>
        <v>-3.3879781420764962E-2</v>
      </c>
      <c r="L281" s="4">
        <v>1160.329956</v>
      </c>
      <c r="M281" s="10">
        <f t="shared" si="9"/>
        <v>7.6814361759009853E-2</v>
      </c>
      <c r="N281" s="11">
        <v>2.6247319999999998</v>
      </c>
    </row>
    <row r="282" spans="1:14" x14ac:dyDescent="0.2">
      <c r="A282" s="3" t="s">
        <v>288</v>
      </c>
      <c r="B282" s="5">
        <v>1499.5</v>
      </c>
      <c r="C282" s="5">
        <v>1665.97</v>
      </c>
      <c r="D282" s="5">
        <v>477.59</v>
      </c>
      <c r="E282" s="5">
        <v>6363.11</v>
      </c>
      <c r="F282" s="5">
        <v>25.55</v>
      </c>
      <c r="G282" s="5">
        <v>27.37</v>
      </c>
      <c r="H282" s="5">
        <v>4949.78</v>
      </c>
      <c r="I282" s="5">
        <v>970.14</v>
      </c>
      <c r="J282" s="5">
        <v>88.4</v>
      </c>
      <c r="K282" s="10">
        <f t="shared" si="8"/>
        <v>4.072398190045242E-2</v>
      </c>
      <c r="L282" s="4">
        <v>1249.459961</v>
      </c>
      <c r="M282" s="10">
        <f t="shared" si="9"/>
        <v>5.0901871196495675E-3</v>
      </c>
      <c r="N282" s="11">
        <v>2.2655069999999999</v>
      </c>
    </row>
    <row r="283" spans="1:14" x14ac:dyDescent="0.2">
      <c r="A283" s="3" t="s">
        <v>289</v>
      </c>
      <c r="B283" s="4">
        <v>1542.4</v>
      </c>
      <c r="C283" s="4">
        <v>1684.85</v>
      </c>
      <c r="D283" s="4">
        <v>466.08</v>
      </c>
      <c r="E283" s="4">
        <v>7086.48</v>
      </c>
      <c r="F283" s="4">
        <v>28.45</v>
      </c>
      <c r="G283" s="4">
        <v>28.61</v>
      </c>
      <c r="H283" s="4">
        <v>4951.79</v>
      </c>
      <c r="I283" s="4">
        <v>937.96</v>
      </c>
      <c r="J283" s="4">
        <v>92</v>
      </c>
      <c r="K283" s="10">
        <f t="shared" si="8"/>
        <v>6.5217391304347207E-3</v>
      </c>
      <c r="L283" s="4">
        <v>1255.8199460000001</v>
      </c>
      <c r="M283" s="10">
        <f t="shared" si="9"/>
        <v>-2.5035389109833495E-2</v>
      </c>
      <c r="N283" s="11">
        <v>2.1089150000000001</v>
      </c>
    </row>
    <row r="284" spans="1:14" x14ac:dyDescent="0.2">
      <c r="A284" s="3" t="s">
        <v>290</v>
      </c>
      <c r="B284" s="5">
        <v>1470.8</v>
      </c>
      <c r="C284" s="5">
        <v>1610.47</v>
      </c>
      <c r="D284" s="5">
        <v>444.73</v>
      </c>
      <c r="E284" s="5">
        <v>6674.33</v>
      </c>
      <c r="F284" s="5">
        <v>27.72</v>
      </c>
      <c r="G284" s="5">
        <v>27.56</v>
      </c>
      <c r="H284" s="5">
        <v>4829.8999999999996</v>
      </c>
      <c r="I284" s="5">
        <v>896.93</v>
      </c>
      <c r="J284" s="5">
        <v>92.6</v>
      </c>
      <c r="K284" s="10">
        <f t="shared" si="8"/>
        <v>-2.1598272138227716E-3</v>
      </c>
      <c r="L284" s="4">
        <v>1224.380005</v>
      </c>
      <c r="M284" s="10">
        <f t="shared" si="9"/>
        <v>-1.074015007293419E-2</v>
      </c>
      <c r="N284" s="11">
        <v>2.4845109999999999</v>
      </c>
    </row>
    <row r="285" spans="1:14" x14ac:dyDescent="0.2">
      <c r="A285" s="3" t="s">
        <v>291</v>
      </c>
      <c r="B285" s="4">
        <v>1418.6</v>
      </c>
      <c r="C285" s="4">
        <v>1526.77</v>
      </c>
      <c r="D285" s="4">
        <v>462.15</v>
      </c>
      <c r="E285" s="4">
        <v>5962.55</v>
      </c>
      <c r="F285" s="4">
        <v>24.54</v>
      </c>
      <c r="G285" s="4">
        <v>26.44</v>
      </c>
      <c r="H285" s="4">
        <v>4343.59</v>
      </c>
      <c r="I285" s="4">
        <v>853.3</v>
      </c>
      <c r="J285" s="4">
        <v>92.4</v>
      </c>
      <c r="K285" s="10">
        <f t="shared" si="8"/>
        <v>-9.7402597402598007E-3</v>
      </c>
      <c r="L285" s="4">
        <v>1211.2299800000001</v>
      </c>
      <c r="M285" s="10">
        <f t="shared" si="9"/>
        <v>-6.4108406563714707E-2</v>
      </c>
      <c r="N285" s="11">
        <v>2.3606769999999999</v>
      </c>
    </row>
    <row r="286" spans="1:14" x14ac:dyDescent="0.2">
      <c r="A286" s="3" t="s">
        <v>292</v>
      </c>
      <c r="B286" s="5">
        <v>1377.8</v>
      </c>
      <c r="C286" s="5">
        <v>1466.41</v>
      </c>
      <c r="D286" s="5">
        <v>483.63</v>
      </c>
      <c r="E286" s="5">
        <v>5525.64</v>
      </c>
      <c r="F286" s="5">
        <v>25.67</v>
      </c>
      <c r="G286" s="5">
        <v>27.45</v>
      </c>
      <c r="H286" s="5">
        <v>3929.45</v>
      </c>
      <c r="I286" s="5">
        <v>830.03</v>
      </c>
      <c r="J286" s="5">
        <v>91.5</v>
      </c>
      <c r="K286" s="10">
        <f t="shared" si="8"/>
        <v>-0.10601092896174867</v>
      </c>
      <c r="L286" s="4">
        <v>1133.579956</v>
      </c>
      <c r="M286" s="10">
        <f t="shared" si="9"/>
        <v>-8.172340601971613E-2</v>
      </c>
      <c r="N286" s="11">
        <v>2.4037799999999998</v>
      </c>
    </row>
    <row r="287" spans="1:14" x14ac:dyDescent="0.2">
      <c r="A287" s="3" t="s">
        <v>293</v>
      </c>
      <c r="B287" s="4">
        <v>1346</v>
      </c>
      <c r="C287" s="4">
        <v>1427.7</v>
      </c>
      <c r="D287" s="4">
        <v>464.81</v>
      </c>
      <c r="E287" s="4">
        <v>5057.6499999999996</v>
      </c>
      <c r="F287" s="4">
        <v>25.54</v>
      </c>
      <c r="G287" s="4">
        <v>25.59</v>
      </c>
      <c r="H287" s="4">
        <v>3698.37</v>
      </c>
      <c r="I287" s="4">
        <v>799.51</v>
      </c>
      <c r="J287" s="4">
        <v>81.8</v>
      </c>
      <c r="K287" s="10">
        <f t="shared" si="8"/>
        <v>1.1002444987775131E-2</v>
      </c>
      <c r="L287" s="4">
        <v>1040.9399410000001</v>
      </c>
      <c r="M287" s="10">
        <f t="shared" si="9"/>
        <v>1.8099111445277823E-2</v>
      </c>
      <c r="N287" s="11">
        <v>2.2512880000000002</v>
      </c>
    </row>
    <row r="288" spans="1:14" x14ac:dyDescent="0.2">
      <c r="A288" s="3" t="s">
        <v>294</v>
      </c>
      <c r="B288" s="5">
        <v>1283.5</v>
      </c>
      <c r="C288" s="5">
        <v>1377.38</v>
      </c>
      <c r="D288" s="5">
        <v>468.58</v>
      </c>
      <c r="E288" s="5">
        <v>4830.78</v>
      </c>
      <c r="F288" s="5">
        <v>20.48</v>
      </c>
      <c r="G288" s="5">
        <v>22.18</v>
      </c>
      <c r="H288" s="5">
        <v>3749.17</v>
      </c>
      <c r="I288" s="5">
        <v>761.74</v>
      </c>
      <c r="J288" s="5">
        <v>82.7</v>
      </c>
      <c r="K288" s="10">
        <f t="shared" si="8"/>
        <v>1.4510278113663878E-2</v>
      </c>
      <c r="L288" s="4">
        <v>1059.780029</v>
      </c>
      <c r="M288" s="10">
        <f t="shared" si="9"/>
        <v>7.5175904263053484E-2</v>
      </c>
      <c r="N288" s="11">
        <v>2.0263949999999999</v>
      </c>
    </row>
    <row r="289" spans="1:14" x14ac:dyDescent="0.2">
      <c r="A289" s="3" t="s">
        <v>295</v>
      </c>
      <c r="B289" s="4">
        <v>1334.5</v>
      </c>
      <c r="C289" s="4">
        <v>1434.29</v>
      </c>
      <c r="D289" s="4">
        <v>486.71</v>
      </c>
      <c r="E289" s="4">
        <v>5131.32</v>
      </c>
      <c r="F289" s="4">
        <v>18.940000000000001</v>
      </c>
      <c r="G289" s="4">
        <v>19.59</v>
      </c>
      <c r="H289" s="4">
        <v>4059.32</v>
      </c>
      <c r="I289" s="4">
        <v>774.35</v>
      </c>
      <c r="J289" s="4">
        <v>83.9</v>
      </c>
      <c r="K289" s="10">
        <f t="shared" si="8"/>
        <v>5.8402860548271644E-2</v>
      </c>
      <c r="L289" s="4">
        <v>1139.4499510000001</v>
      </c>
      <c r="M289" s="10">
        <f t="shared" si="9"/>
        <v>7.5738341929157561E-3</v>
      </c>
      <c r="N289" s="11">
        <v>1.3310470000000001</v>
      </c>
    </row>
    <row r="290" spans="1:14" x14ac:dyDescent="0.2">
      <c r="A290" s="3" t="s">
        <v>296</v>
      </c>
      <c r="B290" s="5">
        <v>1348.7</v>
      </c>
      <c r="C290" s="5">
        <v>1472.85</v>
      </c>
      <c r="D290" s="5">
        <v>482.91</v>
      </c>
      <c r="E290" s="5">
        <v>5315.82</v>
      </c>
      <c r="F290" s="5">
        <v>18.600000000000001</v>
      </c>
      <c r="G290" s="5">
        <v>19.309999999999999</v>
      </c>
      <c r="H290" s="5">
        <v>4022.47</v>
      </c>
      <c r="I290" s="5">
        <v>757.97</v>
      </c>
      <c r="J290" s="5">
        <v>88.8</v>
      </c>
      <c r="K290" s="10">
        <f t="shared" si="8"/>
        <v>4.7297297297297328E-2</v>
      </c>
      <c r="L290" s="4">
        <v>1148.079956</v>
      </c>
      <c r="M290" s="10">
        <f t="shared" si="9"/>
        <v>-1.5573832559794278E-2</v>
      </c>
      <c r="N290" s="11">
        <v>1.052829</v>
      </c>
    </row>
    <row r="291" spans="1:14" x14ac:dyDescent="0.2">
      <c r="A291" s="3" t="s">
        <v>297</v>
      </c>
      <c r="B291" s="4">
        <v>1371.4</v>
      </c>
      <c r="C291" s="4">
        <v>1508.23</v>
      </c>
      <c r="D291" s="4">
        <v>511.09</v>
      </c>
      <c r="E291" s="4">
        <v>6061.36</v>
      </c>
      <c r="F291" s="4">
        <v>19.48</v>
      </c>
      <c r="G291" s="4">
        <v>19.690000000000001</v>
      </c>
      <c r="H291" s="4">
        <v>3867.95</v>
      </c>
      <c r="I291" s="4">
        <v>794.2</v>
      </c>
      <c r="J291" s="4">
        <v>93</v>
      </c>
      <c r="K291" s="10">
        <f t="shared" si="8"/>
        <v>-2.4731182795698893E-2</v>
      </c>
      <c r="L291" s="4">
        <v>1130.1999510000001</v>
      </c>
      <c r="M291" s="10">
        <f t="shared" si="9"/>
        <v>-2.0766211305560379E-2</v>
      </c>
      <c r="N291" s="11">
        <v>1.2996909999999999</v>
      </c>
    </row>
    <row r="292" spans="1:14" x14ac:dyDescent="0.2">
      <c r="A292" s="3" t="s">
        <v>298</v>
      </c>
      <c r="B292" s="5">
        <v>1371.1</v>
      </c>
      <c r="C292" s="5">
        <v>1561.37</v>
      </c>
      <c r="D292" s="5">
        <v>480.93</v>
      </c>
      <c r="E292" s="5">
        <v>6039.95</v>
      </c>
      <c r="F292" s="5">
        <v>20.29</v>
      </c>
      <c r="G292" s="5">
        <v>20.72</v>
      </c>
      <c r="H292" s="5">
        <v>3724.61</v>
      </c>
      <c r="I292" s="5">
        <v>773.47</v>
      </c>
      <c r="J292" s="5">
        <v>90.7</v>
      </c>
      <c r="K292" s="10">
        <f t="shared" si="8"/>
        <v>5.5126791620727672E-2</v>
      </c>
      <c r="L292" s="4">
        <v>1106.7299800000001</v>
      </c>
      <c r="M292" s="10">
        <f t="shared" si="9"/>
        <v>3.6738893618839058E-2</v>
      </c>
      <c r="N292" s="11">
        <v>0.6380344</v>
      </c>
    </row>
    <row r="293" spans="1:14" x14ac:dyDescent="0.2">
      <c r="A293" s="3" t="s">
        <v>299</v>
      </c>
      <c r="B293" s="4">
        <v>1405</v>
      </c>
      <c r="C293" s="4">
        <v>1607.39</v>
      </c>
      <c r="D293" s="4">
        <v>480.68</v>
      </c>
      <c r="E293" s="4">
        <v>6543.2</v>
      </c>
      <c r="F293" s="4">
        <v>23.69</v>
      </c>
      <c r="G293" s="4">
        <v>24.38</v>
      </c>
      <c r="H293" s="4">
        <v>3850.75</v>
      </c>
      <c r="I293" s="4">
        <v>820</v>
      </c>
      <c r="J293" s="4">
        <v>95.7</v>
      </c>
      <c r="K293" s="10">
        <f t="shared" si="8"/>
        <v>-2.8213166144200656E-2</v>
      </c>
      <c r="L293" s="4">
        <v>1147.3900149999999</v>
      </c>
      <c r="M293" s="10">
        <f t="shared" si="9"/>
        <v>-6.1417626159139961E-2</v>
      </c>
      <c r="N293" s="11">
        <v>0.3251658</v>
      </c>
    </row>
    <row r="294" spans="1:14" x14ac:dyDescent="0.2">
      <c r="A294" s="3" t="s">
        <v>300</v>
      </c>
      <c r="B294" s="5">
        <v>1370.4</v>
      </c>
      <c r="C294" s="5">
        <v>1588.57</v>
      </c>
      <c r="D294" s="5">
        <v>472.09</v>
      </c>
      <c r="E294" s="5">
        <v>6956.81</v>
      </c>
      <c r="F294" s="5">
        <v>25.65</v>
      </c>
      <c r="G294" s="5">
        <v>26.24</v>
      </c>
      <c r="H294" s="5">
        <v>4026.48</v>
      </c>
      <c r="I294" s="5">
        <v>807.58</v>
      </c>
      <c r="J294" s="5">
        <v>93</v>
      </c>
      <c r="K294" s="10">
        <f t="shared" si="8"/>
        <v>4.19354838709678E-2</v>
      </c>
      <c r="L294" s="4">
        <v>1076.920044</v>
      </c>
      <c r="M294" s="10">
        <f t="shared" si="9"/>
        <v>-9.081481076045431E-3</v>
      </c>
      <c r="N294" s="11">
        <v>0.42560910000000002</v>
      </c>
    </row>
    <row r="295" spans="1:14" x14ac:dyDescent="0.2">
      <c r="A295" s="3" t="s">
        <v>301</v>
      </c>
      <c r="B295" s="4">
        <v>1344.4</v>
      </c>
      <c r="C295" s="4">
        <v>1597.02</v>
      </c>
      <c r="D295" s="4">
        <v>450.39</v>
      </c>
      <c r="E295" s="4">
        <v>6771.18</v>
      </c>
      <c r="F295" s="4">
        <v>25.43</v>
      </c>
      <c r="G295" s="4">
        <v>27.04</v>
      </c>
      <c r="H295" s="4">
        <v>4152.82</v>
      </c>
      <c r="I295" s="4">
        <v>768.25</v>
      </c>
      <c r="J295" s="4">
        <v>96.9</v>
      </c>
      <c r="K295" s="10">
        <f t="shared" si="8"/>
        <v>-4.6439628482972131E-2</v>
      </c>
      <c r="L295" s="4">
        <v>1067.1400149999999</v>
      </c>
      <c r="M295" s="10">
        <f t="shared" si="9"/>
        <v>-7.2455354417573711E-2</v>
      </c>
      <c r="N295" s="11">
        <v>0.38352720000000001</v>
      </c>
    </row>
    <row r="296" spans="1:14" x14ac:dyDescent="0.2">
      <c r="A296" s="3" t="s">
        <v>302</v>
      </c>
      <c r="B296" s="5">
        <v>1356.9</v>
      </c>
      <c r="C296" s="5">
        <v>1650.59</v>
      </c>
      <c r="D296" s="5">
        <v>439.98</v>
      </c>
      <c r="E296" s="5">
        <v>7147.61</v>
      </c>
      <c r="F296" s="5">
        <v>24.13</v>
      </c>
      <c r="G296" s="5">
        <v>25.51</v>
      </c>
      <c r="H296" s="5">
        <v>4303.33</v>
      </c>
      <c r="I296" s="5">
        <v>769.42</v>
      </c>
      <c r="J296" s="5">
        <v>92.4</v>
      </c>
      <c r="K296" s="10">
        <f t="shared" si="8"/>
        <v>-4.6536796536796654E-2</v>
      </c>
      <c r="L296" s="4">
        <v>989.82000700000003</v>
      </c>
      <c r="M296" s="10">
        <f t="shared" si="9"/>
        <v>-7.9004274966125249E-2</v>
      </c>
      <c r="N296" s="11">
        <v>0.41415049999999998</v>
      </c>
    </row>
    <row r="297" spans="1:14" x14ac:dyDescent="0.2">
      <c r="A297" s="3" t="s">
        <v>303</v>
      </c>
      <c r="B297" s="4">
        <v>1337.9</v>
      </c>
      <c r="C297" s="4">
        <v>1588.28</v>
      </c>
      <c r="D297" s="4">
        <v>446.03</v>
      </c>
      <c r="E297" s="4">
        <v>7137.7</v>
      </c>
      <c r="F297" s="4">
        <v>25.77</v>
      </c>
      <c r="G297" s="4">
        <v>26.92</v>
      </c>
      <c r="H297" s="4">
        <v>4313.78</v>
      </c>
      <c r="I297" s="4">
        <v>795.01</v>
      </c>
      <c r="J297" s="4">
        <v>88.1</v>
      </c>
      <c r="K297" s="10">
        <f t="shared" si="8"/>
        <v>-5.6753688989784343E-3</v>
      </c>
      <c r="L297" s="4">
        <v>911.61999500000002</v>
      </c>
      <c r="M297" s="10">
        <f t="shared" si="9"/>
        <v>4.8814330800192847E-3</v>
      </c>
      <c r="N297" s="11">
        <v>-2.0516900000000001E-2</v>
      </c>
    </row>
    <row r="298" spans="1:14" x14ac:dyDescent="0.2">
      <c r="A298" s="3" t="s">
        <v>304</v>
      </c>
      <c r="B298" s="5">
        <v>1293.4000000000001</v>
      </c>
      <c r="C298" s="5">
        <v>1482.92</v>
      </c>
      <c r="D298" s="5">
        <v>424.33</v>
      </c>
      <c r="E298" s="5">
        <v>6736.86</v>
      </c>
      <c r="F298" s="5">
        <v>26.63</v>
      </c>
      <c r="G298" s="5">
        <v>28.37</v>
      </c>
      <c r="H298" s="5">
        <v>3832.24</v>
      </c>
      <c r="I298" s="5">
        <v>748.81</v>
      </c>
      <c r="J298" s="5">
        <v>87.6</v>
      </c>
      <c r="K298" s="10">
        <f t="shared" si="8"/>
        <v>-1.7123287671232879E-2</v>
      </c>
      <c r="L298" s="4">
        <v>916.07000700000003</v>
      </c>
      <c r="M298" s="10">
        <f t="shared" si="9"/>
        <v>-0.11002431826151908</v>
      </c>
      <c r="N298" s="11">
        <v>-0.12761059999999999</v>
      </c>
    </row>
    <row r="299" spans="1:14" x14ac:dyDescent="0.2">
      <c r="A299" s="3" t="s">
        <v>305</v>
      </c>
      <c r="B299" s="4">
        <v>1301.7</v>
      </c>
      <c r="C299" s="4">
        <v>1478.93</v>
      </c>
      <c r="D299" s="4">
        <v>420.54</v>
      </c>
      <c r="E299" s="4">
        <v>6664.95</v>
      </c>
      <c r="F299" s="4">
        <v>28.34</v>
      </c>
      <c r="G299" s="4">
        <v>29.67</v>
      </c>
      <c r="H299" s="4">
        <v>3961.76</v>
      </c>
      <c r="I299" s="4">
        <v>756.18</v>
      </c>
      <c r="J299" s="4">
        <v>86.1</v>
      </c>
      <c r="K299" s="10">
        <f t="shared" si="8"/>
        <v>-6.3879210220673638E-2</v>
      </c>
      <c r="L299" s="4">
        <v>815.28002900000001</v>
      </c>
      <c r="M299" s="10">
        <f t="shared" si="9"/>
        <v>8.6448801016809837E-2</v>
      </c>
      <c r="N299" s="11">
        <v>-0.59185620000000005</v>
      </c>
    </row>
    <row r="300" spans="1:14" x14ac:dyDescent="0.2">
      <c r="A300" s="3" t="s">
        <v>306</v>
      </c>
      <c r="B300" s="5">
        <v>1311.5</v>
      </c>
      <c r="C300" s="5">
        <v>1486.17</v>
      </c>
      <c r="D300" s="5">
        <v>418.25</v>
      </c>
      <c r="E300" s="5">
        <v>6818.91</v>
      </c>
      <c r="F300" s="5">
        <v>27.55</v>
      </c>
      <c r="G300" s="5">
        <v>28.85</v>
      </c>
      <c r="H300" s="5">
        <v>4242.09</v>
      </c>
      <c r="I300" s="5">
        <v>755.09</v>
      </c>
      <c r="J300" s="5">
        <v>80.599999999999994</v>
      </c>
      <c r="K300" s="10">
        <f t="shared" si="8"/>
        <v>4.4665012406948E-2</v>
      </c>
      <c r="L300" s="4">
        <v>885.76000999999997</v>
      </c>
      <c r="M300" s="10">
        <f t="shared" si="9"/>
        <v>5.7069620923617885E-2</v>
      </c>
      <c r="N300" s="11">
        <v>-0.45148329999999998</v>
      </c>
    </row>
    <row r="301" spans="1:14" x14ac:dyDescent="0.2">
      <c r="A301" s="3" t="s">
        <v>307</v>
      </c>
      <c r="B301" s="4">
        <v>1373.3</v>
      </c>
      <c r="C301" s="4">
        <v>1581.04</v>
      </c>
      <c r="D301" s="4">
        <v>441.44</v>
      </c>
      <c r="E301" s="4">
        <v>7314.81</v>
      </c>
      <c r="F301" s="4">
        <v>24.5</v>
      </c>
      <c r="G301" s="4">
        <v>26.56</v>
      </c>
      <c r="H301" s="4">
        <v>4228.95</v>
      </c>
      <c r="I301" s="4">
        <v>764.57</v>
      </c>
      <c r="J301" s="4">
        <v>84.2</v>
      </c>
      <c r="K301" s="10">
        <f t="shared" si="8"/>
        <v>2.9691211401425176E-2</v>
      </c>
      <c r="L301" s="4">
        <v>936.30999799999995</v>
      </c>
      <c r="M301" s="10">
        <f t="shared" si="9"/>
        <v>-6.0332572674290638E-2</v>
      </c>
      <c r="N301" s="11">
        <v>-0.27779989999999999</v>
      </c>
    </row>
    <row r="302" spans="1:14" x14ac:dyDescent="0.2">
      <c r="A302" s="3" t="s">
        <v>308</v>
      </c>
      <c r="B302" s="5">
        <v>1375.9</v>
      </c>
      <c r="C302" s="5">
        <v>1592.96</v>
      </c>
      <c r="D302" s="5">
        <v>441.21</v>
      </c>
      <c r="E302" s="5">
        <v>7206.33</v>
      </c>
      <c r="F302" s="5">
        <v>28.52</v>
      </c>
      <c r="G302" s="5">
        <v>29.44</v>
      </c>
      <c r="H302" s="5">
        <v>4227.1899999999996</v>
      </c>
      <c r="I302" s="5">
        <v>794.26</v>
      </c>
      <c r="J302" s="5">
        <v>86.7</v>
      </c>
      <c r="K302" s="10">
        <f t="shared" si="8"/>
        <v>-4.959630911188001E-2</v>
      </c>
      <c r="L302" s="4">
        <v>879.82000700000003</v>
      </c>
      <c r="M302" s="10">
        <f t="shared" si="9"/>
        <v>-2.7414692559952228E-2</v>
      </c>
      <c r="N302" s="11">
        <v>-0.3616607</v>
      </c>
    </row>
    <row r="303" spans="1:14" x14ac:dyDescent="0.2">
      <c r="A303" s="3" t="s">
        <v>309</v>
      </c>
      <c r="B303" s="4">
        <v>1379.29</v>
      </c>
      <c r="C303" s="4">
        <v>1650.31</v>
      </c>
      <c r="D303" s="4">
        <v>444.84</v>
      </c>
      <c r="E303" s="4">
        <v>8032.91</v>
      </c>
      <c r="F303" s="4">
        <v>31.29</v>
      </c>
      <c r="G303" s="4">
        <v>32.950000000000003</v>
      </c>
      <c r="H303" s="4">
        <v>4445.2700000000004</v>
      </c>
      <c r="I303" s="4">
        <v>782.34</v>
      </c>
      <c r="J303" s="4">
        <v>82.4</v>
      </c>
      <c r="K303" s="10">
        <f t="shared" si="8"/>
        <v>-3.0339805825242715E-2</v>
      </c>
      <c r="L303" s="4">
        <v>855.70001200000002</v>
      </c>
      <c r="M303" s="10">
        <f t="shared" si="9"/>
        <v>-1.7003608502929392E-2</v>
      </c>
      <c r="N303" s="11">
        <v>-0.37018020000000001</v>
      </c>
    </row>
    <row r="304" spans="1:14" x14ac:dyDescent="0.2">
      <c r="A304" s="3" t="s">
        <v>310</v>
      </c>
      <c r="B304" s="5">
        <v>1421.56</v>
      </c>
      <c r="C304" s="5">
        <v>1682.15</v>
      </c>
      <c r="D304" s="5">
        <v>474.52</v>
      </c>
      <c r="E304" s="5">
        <v>8607.9500000000007</v>
      </c>
      <c r="F304" s="5">
        <v>32.65</v>
      </c>
      <c r="G304" s="5">
        <v>35.799999999999997</v>
      </c>
      <c r="H304" s="5">
        <v>4572.3</v>
      </c>
      <c r="I304" s="5">
        <v>785.66</v>
      </c>
      <c r="J304" s="5">
        <v>79.900000000000006</v>
      </c>
      <c r="K304" s="10">
        <f t="shared" si="8"/>
        <v>-2.8785982478097761E-2</v>
      </c>
      <c r="L304" s="4">
        <v>841.15002400000003</v>
      </c>
      <c r="M304" s="10">
        <f t="shared" si="9"/>
        <v>8.3575685661514496E-3</v>
      </c>
      <c r="N304" s="11">
        <v>-0.53017349999999996</v>
      </c>
    </row>
    <row r="305" spans="1:14" x14ac:dyDescent="0.2">
      <c r="A305" s="3" t="s">
        <v>311</v>
      </c>
      <c r="B305" s="4">
        <v>1386.55</v>
      </c>
      <c r="C305" s="4">
        <v>1655.69</v>
      </c>
      <c r="D305" s="4">
        <v>454.73</v>
      </c>
      <c r="E305" s="4">
        <v>8339.7099999999991</v>
      </c>
      <c r="F305" s="4">
        <v>30.34</v>
      </c>
      <c r="G305" s="4">
        <v>33.32</v>
      </c>
      <c r="H305" s="4">
        <v>4592.67</v>
      </c>
      <c r="I305" s="4">
        <v>790.32</v>
      </c>
      <c r="J305" s="4">
        <v>77.599999999999994</v>
      </c>
      <c r="K305" s="10">
        <f t="shared" si="8"/>
        <v>0.10824742268041246</v>
      </c>
      <c r="L305" s="4">
        <v>848.17999299999997</v>
      </c>
      <c r="M305" s="10">
        <f t="shared" si="9"/>
        <v>8.1044106872726049E-2</v>
      </c>
      <c r="N305" s="11">
        <v>-0.39339649999999998</v>
      </c>
    </row>
    <row r="306" spans="1:14" x14ac:dyDescent="0.2">
      <c r="A306" s="3" t="s">
        <v>312</v>
      </c>
      <c r="B306" s="5">
        <v>1334.32</v>
      </c>
      <c r="C306" s="5">
        <v>1587.87</v>
      </c>
      <c r="D306" s="5">
        <v>438.02</v>
      </c>
      <c r="E306" s="5">
        <v>7930.6</v>
      </c>
      <c r="F306" s="5">
        <v>25.02</v>
      </c>
      <c r="G306" s="5">
        <v>28.09</v>
      </c>
      <c r="H306" s="5">
        <v>4561.25</v>
      </c>
      <c r="I306" s="5">
        <v>756.75</v>
      </c>
      <c r="J306" s="5">
        <v>86</v>
      </c>
      <c r="K306" s="10">
        <f t="shared" si="8"/>
        <v>7.0930232558139475E-2</v>
      </c>
      <c r="L306" s="4">
        <v>916.919983</v>
      </c>
      <c r="M306" s="10">
        <f t="shared" si="9"/>
        <v>5.0898709664177928E-2</v>
      </c>
      <c r="N306" s="11">
        <v>-0.69511429999999996</v>
      </c>
    </row>
    <row r="307" spans="1:14" x14ac:dyDescent="0.2">
      <c r="A307" s="3" t="s">
        <v>313</v>
      </c>
      <c r="B307" s="4">
        <v>1400.42</v>
      </c>
      <c r="C307" s="4">
        <v>1651.1</v>
      </c>
      <c r="D307" s="4">
        <v>462.35</v>
      </c>
      <c r="E307" s="4">
        <v>8347.75</v>
      </c>
      <c r="F307" s="4">
        <v>25.81</v>
      </c>
      <c r="G307" s="4">
        <v>28.13</v>
      </c>
      <c r="H307" s="4">
        <v>4734</v>
      </c>
      <c r="I307" s="4">
        <v>776.11</v>
      </c>
      <c r="J307" s="4">
        <v>92.1</v>
      </c>
      <c r="K307" s="10">
        <f t="shared" si="8"/>
        <v>-2.6058631921824012E-2</v>
      </c>
      <c r="L307" s="4">
        <v>963.59002699999996</v>
      </c>
      <c r="M307" s="10">
        <f t="shared" si="9"/>
        <v>1.132221452516137E-2</v>
      </c>
      <c r="N307" s="11">
        <v>-0.72201910000000002</v>
      </c>
    </row>
    <row r="308" spans="1:14" x14ac:dyDescent="0.2">
      <c r="A308" s="3" t="s">
        <v>314</v>
      </c>
      <c r="B308" s="5">
        <v>1410.54</v>
      </c>
      <c r="C308" s="5">
        <v>1685.11</v>
      </c>
      <c r="D308" s="5">
        <v>467.67</v>
      </c>
      <c r="E308" s="5">
        <v>8839.0499999999993</v>
      </c>
      <c r="F308" s="5">
        <v>27.55</v>
      </c>
      <c r="G308" s="5">
        <v>30.71</v>
      </c>
      <c r="H308" s="5">
        <v>4678.05</v>
      </c>
      <c r="I308" s="5">
        <v>790.66</v>
      </c>
      <c r="J308" s="5">
        <v>89.7</v>
      </c>
      <c r="K308" s="10">
        <f t="shared" si="8"/>
        <v>1.3377926421404713E-2</v>
      </c>
      <c r="L308" s="4">
        <v>974.5</v>
      </c>
      <c r="M308" s="10">
        <f t="shared" si="9"/>
        <v>1.6223702411493023E-2</v>
      </c>
      <c r="N308" s="11">
        <v>-0.65710769999999996</v>
      </c>
    </row>
    <row r="309" spans="1:14" x14ac:dyDescent="0.2">
      <c r="A309" s="3" t="s">
        <v>315</v>
      </c>
      <c r="B309" s="4">
        <v>1440.9</v>
      </c>
      <c r="C309" s="4">
        <v>1712.83</v>
      </c>
      <c r="D309" s="4">
        <v>513.34</v>
      </c>
      <c r="E309" s="4">
        <v>8831.7800000000007</v>
      </c>
      <c r="F309" s="4">
        <v>28.4</v>
      </c>
      <c r="G309" s="4">
        <v>30.75</v>
      </c>
      <c r="H309" s="4">
        <v>4733.26</v>
      </c>
      <c r="I309" s="4">
        <v>828.5</v>
      </c>
      <c r="J309" s="4">
        <v>90.9</v>
      </c>
      <c r="K309" s="10">
        <f t="shared" si="8"/>
        <v>-1.7601760176017694E-2</v>
      </c>
      <c r="L309" s="4">
        <v>990.30999799999995</v>
      </c>
      <c r="M309" s="10">
        <f t="shared" si="9"/>
        <v>1.7873203376464364E-2</v>
      </c>
      <c r="N309" s="11">
        <v>-0.84590949999999998</v>
      </c>
    </row>
    <row r="310" spans="1:14" x14ac:dyDescent="0.2">
      <c r="A310" s="3" t="s">
        <v>316</v>
      </c>
      <c r="B310" s="5">
        <v>1457.24</v>
      </c>
      <c r="C310" s="5">
        <v>1756.72</v>
      </c>
      <c r="D310" s="5">
        <v>493.77</v>
      </c>
      <c r="E310" s="5">
        <v>9359.9</v>
      </c>
      <c r="F310" s="5">
        <v>29.83</v>
      </c>
      <c r="G310" s="5">
        <v>31.58</v>
      </c>
      <c r="H310" s="5">
        <v>4802.55</v>
      </c>
      <c r="I310" s="5">
        <v>815.2</v>
      </c>
      <c r="J310" s="5">
        <v>89.3</v>
      </c>
      <c r="K310" s="10">
        <f t="shared" si="8"/>
        <v>-1.7917133258678549E-2</v>
      </c>
      <c r="L310" s="4">
        <v>1008.01001</v>
      </c>
      <c r="M310" s="10">
        <f t="shared" si="9"/>
        <v>-1.1944364520745165E-2</v>
      </c>
      <c r="N310" s="11">
        <v>-0.93210029999999999</v>
      </c>
    </row>
    <row r="311" spans="1:14" x14ac:dyDescent="0.2">
      <c r="A311" s="3" t="s">
        <v>317</v>
      </c>
      <c r="B311" s="4">
        <v>1416.6</v>
      </c>
      <c r="C311" s="4">
        <v>1789.67</v>
      </c>
      <c r="D311" s="4">
        <v>520.97</v>
      </c>
      <c r="E311" s="4">
        <v>9995.82</v>
      </c>
      <c r="F311" s="4">
        <v>27.1</v>
      </c>
      <c r="G311" s="4">
        <v>28.28</v>
      </c>
      <c r="H311" s="4">
        <v>4907.2700000000004</v>
      </c>
      <c r="I311" s="4">
        <v>818.94</v>
      </c>
      <c r="J311" s="4">
        <v>87.7</v>
      </c>
      <c r="K311" s="10">
        <f t="shared" si="8"/>
        <v>2.166476624857459E-2</v>
      </c>
      <c r="L311" s="4">
        <v>995.96997099999999</v>
      </c>
      <c r="M311" s="10">
        <f t="shared" si="9"/>
        <v>5.4961486384010702E-2</v>
      </c>
      <c r="N311" s="11">
        <v>-0.79130129999999999</v>
      </c>
    </row>
    <row r="312" spans="1:14" x14ac:dyDescent="0.2">
      <c r="A312" s="3" t="s">
        <v>318</v>
      </c>
      <c r="B312" s="5">
        <v>1477.25</v>
      </c>
      <c r="C312" s="5">
        <v>1925.58</v>
      </c>
      <c r="D312" s="5">
        <v>587.46</v>
      </c>
      <c r="E312" s="5">
        <v>11040.3</v>
      </c>
      <c r="F312" s="5">
        <v>29.59</v>
      </c>
      <c r="G312" s="5">
        <v>30.32</v>
      </c>
      <c r="H312" s="5">
        <v>5227.43</v>
      </c>
      <c r="I312" s="5">
        <v>900.1</v>
      </c>
      <c r="J312" s="5">
        <v>89.6</v>
      </c>
      <c r="K312" s="10">
        <f t="shared" si="8"/>
        <v>4.5758928571428673E-2</v>
      </c>
      <c r="L312" s="4">
        <v>1050.709961</v>
      </c>
      <c r="M312" s="10">
        <f t="shared" si="9"/>
        <v>7.1285038478854151E-3</v>
      </c>
      <c r="N312" s="11">
        <v>-0.71974740000000004</v>
      </c>
    </row>
    <row r="313" spans="1:14" x14ac:dyDescent="0.2">
      <c r="A313" s="3" t="s">
        <v>319</v>
      </c>
      <c r="B313" s="4">
        <v>1511.6</v>
      </c>
      <c r="C313" s="4">
        <v>2053.2800000000002</v>
      </c>
      <c r="D313" s="4">
        <v>622.66999999999996</v>
      </c>
      <c r="E313" s="4">
        <v>12052.4</v>
      </c>
      <c r="F313" s="4">
        <v>28.77</v>
      </c>
      <c r="G313" s="4">
        <v>31.09</v>
      </c>
      <c r="H313" s="4">
        <v>5363.35</v>
      </c>
      <c r="I313" s="4">
        <v>914.23</v>
      </c>
      <c r="J313" s="4">
        <v>93.7</v>
      </c>
      <c r="K313" s="10">
        <f t="shared" si="8"/>
        <v>-1.1739594450373623E-2</v>
      </c>
      <c r="L313" s="4">
        <v>1058.1999510000001</v>
      </c>
      <c r="M313" s="10">
        <f t="shared" si="9"/>
        <v>5.0765541001239284E-2</v>
      </c>
      <c r="N313" s="11">
        <v>-0.63789790000000002</v>
      </c>
    </row>
    <row r="314" spans="1:14" x14ac:dyDescent="0.2">
      <c r="A314" s="3" t="s">
        <v>320</v>
      </c>
      <c r="B314" s="5">
        <v>1557.78</v>
      </c>
      <c r="C314" s="5">
        <v>2202.04</v>
      </c>
      <c r="D314" s="5">
        <v>690.1</v>
      </c>
      <c r="E314" s="5">
        <v>14185.2</v>
      </c>
      <c r="F314" s="5">
        <v>29.88</v>
      </c>
      <c r="G314" s="5">
        <v>32.119999999999997</v>
      </c>
      <c r="H314" s="5">
        <v>6058.41</v>
      </c>
      <c r="I314" s="5">
        <v>976.75</v>
      </c>
      <c r="J314" s="5">
        <v>92.6</v>
      </c>
      <c r="K314" s="10">
        <f t="shared" si="8"/>
        <v>0.12095032397408211</v>
      </c>
      <c r="L314" s="4">
        <v>1111.920044</v>
      </c>
      <c r="M314" s="10">
        <f t="shared" si="9"/>
        <v>1.7276387006114644E-2</v>
      </c>
      <c r="N314" s="11">
        <v>-0.80243439999999999</v>
      </c>
    </row>
    <row r="315" spans="1:14" x14ac:dyDescent="0.2">
      <c r="A315" s="3" t="s">
        <v>321</v>
      </c>
      <c r="B315" s="4">
        <v>1608.89</v>
      </c>
      <c r="C315" s="4">
        <v>2421.48</v>
      </c>
      <c r="D315" s="4">
        <v>753.56</v>
      </c>
      <c r="E315" s="4">
        <v>15089.3</v>
      </c>
      <c r="F315" s="4">
        <v>31.18</v>
      </c>
      <c r="G315" s="4">
        <v>34.24</v>
      </c>
      <c r="H315" s="4">
        <v>6432.49</v>
      </c>
      <c r="I315" s="4">
        <v>1015.89</v>
      </c>
      <c r="J315" s="4">
        <v>103.8</v>
      </c>
      <c r="K315" s="10">
        <f t="shared" si="8"/>
        <v>-9.0558766859344816E-2</v>
      </c>
      <c r="L315" s="4">
        <v>1131.130005</v>
      </c>
      <c r="M315" s="10">
        <f t="shared" si="9"/>
        <v>1.2208973273589456E-2</v>
      </c>
      <c r="N315" s="11">
        <v>-0.64594269999999998</v>
      </c>
    </row>
    <row r="316" spans="1:14" x14ac:dyDescent="0.2">
      <c r="A316" s="3" t="s">
        <v>322</v>
      </c>
      <c r="B316" s="5">
        <v>1685.23</v>
      </c>
      <c r="C316" s="5">
        <v>2751.72</v>
      </c>
      <c r="D316" s="5">
        <v>885.15</v>
      </c>
      <c r="E316" s="5">
        <v>15099.4</v>
      </c>
      <c r="F316" s="5">
        <v>30.87</v>
      </c>
      <c r="G316" s="5">
        <v>34.729999999999997</v>
      </c>
      <c r="H316" s="5">
        <v>6662.7</v>
      </c>
      <c r="I316" s="5">
        <v>1085.79</v>
      </c>
      <c r="J316" s="5">
        <v>94.4</v>
      </c>
      <c r="K316" s="10">
        <f t="shared" si="8"/>
        <v>1.483050847457618E-2</v>
      </c>
      <c r="L316" s="4">
        <v>1144.9399410000001</v>
      </c>
      <c r="M316" s="10">
        <f t="shared" si="9"/>
        <v>-1.6358919214261271E-2</v>
      </c>
      <c r="N316" s="11">
        <v>-0.51459250000000001</v>
      </c>
    </row>
    <row r="317" spans="1:14" x14ac:dyDescent="0.2">
      <c r="A317" s="3" t="s">
        <v>323</v>
      </c>
      <c r="B317" s="4">
        <v>1657.35</v>
      </c>
      <c r="C317" s="4">
        <v>3000.28</v>
      </c>
      <c r="D317" s="4">
        <v>878.14</v>
      </c>
      <c r="E317" s="4">
        <v>13786.5</v>
      </c>
      <c r="F317" s="4">
        <v>33.799999999999997</v>
      </c>
      <c r="G317" s="4">
        <v>36.729999999999997</v>
      </c>
      <c r="H317" s="4">
        <v>7602.21</v>
      </c>
      <c r="I317" s="4">
        <v>1101.8</v>
      </c>
      <c r="J317" s="4">
        <v>95.8</v>
      </c>
      <c r="K317" s="10">
        <f t="shared" si="8"/>
        <v>-1.6701461377870506E-2</v>
      </c>
      <c r="L317" s="4">
        <v>1126.209961</v>
      </c>
      <c r="M317" s="10">
        <f t="shared" si="9"/>
        <v>-1.6790751862298683E-2</v>
      </c>
      <c r="N317" s="11">
        <v>-0.58299959999999995</v>
      </c>
    </row>
    <row r="318" spans="1:14" x14ac:dyDescent="0.2">
      <c r="A318" s="3" t="s">
        <v>324</v>
      </c>
      <c r="B318" s="5">
        <v>1731.68</v>
      </c>
      <c r="C318" s="5">
        <v>2926.98</v>
      </c>
      <c r="D318" s="5">
        <v>747.02</v>
      </c>
      <c r="E318" s="5">
        <v>12725.9</v>
      </c>
      <c r="F318" s="5">
        <v>33.36</v>
      </c>
      <c r="G318" s="5">
        <v>36.72</v>
      </c>
      <c r="H318" s="5">
        <v>8909</v>
      </c>
      <c r="I318" s="5">
        <v>1028.9100000000001</v>
      </c>
      <c r="J318" s="5">
        <v>94.2</v>
      </c>
      <c r="K318" s="10">
        <f t="shared" si="8"/>
        <v>-4.2462845010615709E-2</v>
      </c>
      <c r="L318" s="4">
        <v>1107.3000489999999</v>
      </c>
      <c r="M318" s="10">
        <f t="shared" si="9"/>
        <v>1.2083450201310325E-2</v>
      </c>
      <c r="N318" s="11">
        <v>-0.45870870000000002</v>
      </c>
    </row>
    <row r="319" spans="1:14" x14ac:dyDescent="0.2">
      <c r="A319" s="3" t="s">
        <v>325</v>
      </c>
      <c r="B319" s="4">
        <v>1625.27</v>
      </c>
      <c r="C319" s="4">
        <v>2728.46</v>
      </c>
      <c r="D319" s="4">
        <v>804.1</v>
      </c>
      <c r="E319" s="4">
        <v>11228.6</v>
      </c>
      <c r="F319" s="4">
        <v>37.92</v>
      </c>
      <c r="G319" s="4">
        <v>40.29</v>
      </c>
      <c r="H319" s="4">
        <v>9391.6299999999992</v>
      </c>
      <c r="I319" s="4">
        <v>1030.98</v>
      </c>
      <c r="J319" s="4">
        <v>90.2</v>
      </c>
      <c r="K319" s="10">
        <f t="shared" si="8"/>
        <v>5.98669623059866E-2</v>
      </c>
      <c r="L319" s="4">
        <v>1120.6800539999999</v>
      </c>
      <c r="M319" s="10">
        <f t="shared" si="9"/>
        <v>1.7988998669195622E-2</v>
      </c>
      <c r="N319" s="11">
        <v>-0.460146</v>
      </c>
    </row>
    <row r="320" spans="1:14" x14ac:dyDescent="0.2">
      <c r="A320" s="3" t="s">
        <v>326</v>
      </c>
      <c r="B320" s="5">
        <v>1682.04</v>
      </c>
      <c r="C320" s="5">
        <v>2689.05</v>
      </c>
      <c r="D320" s="5">
        <v>863.72</v>
      </c>
      <c r="E320" s="5">
        <v>13599.4</v>
      </c>
      <c r="F320" s="5">
        <v>35.19</v>
      </c>
      <c r="G320" s="5">
        <v>38.03</v>
      </c>
      <c r="H320" s="5">
        <v>9158.64</v>
      </c>
      <c r="I320" s="5">
        <v>1018.86</v>
      </c>
      <c r="J320" s="5">
        <v>95.6</v>
      </c>
      <c r="K320" s="10">
        <f t="shared" si="8"/>
        <v>1.1506276150627706E-2</v>
      </c>
      <c r="L320" s="4">
        <v>1140.839966</v>
      </c>
      <c r="M320" s="10">
        <f t="shared" si="9"/>
        <v>-3.4290519411904981E-2</v>
      </c>
      <c r="N320" s="11">
        <v>-0.39081850000000001</v>
      </c>
    </row>
    <row r="321" spans="1:14" x14ac:dyDescent="0.2">
      <c r="A321" s="3" t="s">
        <v>327</v>
      </c>
      <c r="B321" s="4">
        <v>1707.87</v>
      </c>
      <c r="C321" s="4">
        <v>2816.8</v>
      </c>
      <c r="D321" s="4">
        <v>931.34</v>
      </c>
      <c r="E321" s="4">
        <v>15020.1</v>
      </c>
      <c r="F321" s="4">
        <v>38.369999999999997</v>
      </c>
      <c r="G321" s="4">
        <v>40.82</v>
      </c>
      <c r="H321" s="4">
        <v>9021.91</v>
      </c>
      <c r="I321" s="4">
        <v>988.1</v>
      </c>
      <c r="J321" s="4">
        <v>96.7</v>
      </c>
      <c r="K321" s="10">
        <f t="shared" si="8"/>
        <v>-8.2730093071354417E-3</v>
      </c>
      <c r="L321" s="4">
        <v>1101.719971</v>
      </c>
      <c r="M321" s="10">
        <f t="shared" si="9"/>
        <v>2.2873498405522209E-3</v>
      </c>
      <c r="N321" s="11">
        <v>-0.14047799999999999</v>
      </c>
    </row>
    <row r="322" spans="1:14" x14ac:dyDescent="0.2">
      <c r="A322" s="3" t="s">
        <v>328</v>
      </c>
      <c r="B322" s="5">
        <v>1692.1</v>
      </c>
      <c r="C322" s="5">
        <v>2844.2</v>
      </c>
      <c r="D322" s="5">
        <v>916.61</v>
      </c>
      <c r="E322" s="5">
        <v>13639.6</v>
      </c>
      <c r="F322" s="5">
        <v>43.03</v>
      </c>
      <c r="G322" s="5">
        <v>44.92</v>
      </c>
      <c r="H322" s="5">
        <v>9021.43</v>
      </c>
      <c r="I322" s="5">
        <v>976.8</v>
      </c>
      <c r="J322" s="5">
        <v>95.9</v>
      </c>
      <c r="K322" s="10">
        <f t="shared" si="8"/>
        <v>-1.7726798748696586E-2</v>
      </c>
      <c r="L322" s="4">
        <v>1104.23999</v>
      </c>
      <c r="M322" s="10">
        <f t="shared" si="9"/>
        <v>9.3638756915514383E-3</v>
      </c>
      <c r="N322" s="11">
        <v>-1.5310000000000001E-4</v>
      </c>
    </row>
    <row r="323" spans="1:14" x14ac:dyDescent="0.2">
      <c r="A323" s="3" t="s">
        <v>329</v>
      </c>
      <c r="B323" s="4">
        <v>1731.02</v>
      </c>
      <c r="C323" s="4">
        <v>2903.17</v>
      </c>
      <c r="D323" s="4">
        <v>932.15</v>
      </c>
      <c r="E323" s="4">
        <v>13430.4</v>
      </c>
      <c r="F323" s="4">
        <v>43.38</v>
      </c>
      <c r="G323" s="4">
        <v>45.93</v>
      </c>
      <c r="H323" s="4">
        <v>9015.68</v>
      </c>
      <c r="I323" s="4">
        <v>980.02</v>
      </c>
      <c r="J323" s="4">
        <v>94.2</v>
      </c>
      <c r="K323" s="10">
        <f t="shared" si="8"/>
        <v>-2.6539278131634817E-2</v>
      </c>
      <c r="L323" s="4">
        <v>1114.579956</v>
      </c>
      <c r="M323" s="10">
        <f t="shared" si="9"/>
        <v>1.4014243586487049E-2</v>
      </c>
      <c r="N323" s="11">
        <v>-4.2339799999999997E-2</v>
      </c>
    </row>
    <row r="324" spans="1:14" x14ac:dyDescent="0.2">
      <c r="A324" s="3" t="s">
        <v>330</v>
      </c>
      <c r="B324" s="5">
        <v>1830.37</v>
      </c>
      <c r="C324" s="5">
        <v>3009.4</v>
      </c>
      <c r="D324" s="5">
        <v>932.85</v>
      </c>
      <c r="E324" s="5">
        <v>14378.5</v>
      </c>
      <c r="F324" s="5">
        <v>49.77</v>
      </c>
      <c r="G324" s="5">
        <v>53.25</v>
      </c>
      <c r="H324" s="5">
        <v>9043.2099999999991</v>
      </c>
      <c r="I324" s="5">
        <v>1066.95</v>
      </c>
      <c r="J324" s="5">
        <v>91.7</v>
      </c>
      <c r="K324" s="10">
        <f t="shared" ref="K324:K387" si="10" xml:space="preserve"> (J325-J324)/J324</f>
        <v>1.1995637949836361E-2</v>
      </c>
      <c r="L324" s="4">
        <v>1130.1999510000001</v>
      </c>
      <c r="M324" s="10">
        <f t="shared" ref="M324:M387" si="11" xml:space="preserve"> (L325-L324)/L324</f>
        <v>3.8594936198152442E-2</v>
      </c>
      <c r="N324" s="11">
        <v>-3.7361400000000003E-2</v>
      </c>
    </row>
    <row r="325" spans="1:14" x14ac:dyDescent="0.2">
      <c r="A325" s="3" t="s">
        <v>331</v>
      </c>
      <c r="B325" s="4">
        <v>1817.35</v>
      </c>
      <c r="C325" s="4">
        <v>3130.31</v>
      </c>
      <c r="D325" s="4">
        <v>966.3</v>
      </c>
      <c r="E325" s="4">
        <v>14089.5</v>
      </c>
      <c r="F325" s="4">
        <v>43.05</v>
      </c>
      <c r="G325" s="4">
        <v>48.45</v>
      </c>
      <c r="H325" s="4">
        <v>9038.65</v>
      </c>
      <c r="I325" s="4">
        <v>1100.23</v>
      </c>
      <c r="J325" s="4">
        <v>92.8</v>
      </c>
      <c r="K325" s="10">
        <f t="shared" si="10"/>
        <v>4.6336206896551692E-2</v>
      </c>
      <c r="L325" s="4">
        <v>1173.8199460000001</v>
      </c>
      <c r="M325" s="10">
        <f t="shared" si="11"/>
        <v>3.2458213144045421E-2</v>
      </c>
      <c r="N325" s="11">
        <v>-4.2479000000000003E-2</v>
      </c>
    </row>
    <row r="326" spans="1:14" x14ac:dyDescent="0.2">
      <c r="A326" s="3" t="s">
        <v>332</v>
      </c>
      <c r="B326" s="5">
        <v>1852.92</v>
      </c>
      <c r="C326" s="5">
        <v>3139.79</v>
      </c>
      <c r="D326" s="5">
        <v>972.33</v>
      </c>
      <c r="E326" s="5">
        <v>13765</v>
      </c>
      <c r="F326" s="5">
        <v>39.65</v>
      </c>
      <c r="G326" s="5">
        <v>43.23</v>
      </c>
      <c r="H326" s="5">
        <v>8473.7099999999991</v>
      </c>
      <c r="I326" s="5">
        <v>1182.1400000000001</v>
      </c>
      <c r="J326" s="5">
        <v>97.1</v>
      </c>
      <c r="K326" s="10">
        <f t="shared" si="10"/>
        <v>-1.6477857878475742E-2</v>
      </c>
      <c r="L326" s="4">
        <v>1211.920044</v>
      </c>
      <c r="M326" s="10">
        <f t="shared" si="11"/>
        <v>-2.5290467099494587E-2</v>
      </c>
      <c r="N326" s="11">
        <v>-5.2051899999999998E-2</v>
      </c>
    </row>
    <row r="327" spans="1:14" x14ac:dyDescent="0.2">
      <c r="A327" s="3" t="s">
        <v>333</v>
      </c>
      <c r="B327" s="4">
        <v>1836.21</v>
      </c>
      <c r="C327" s="4">
        <v>3168.1</v>
      </c>
      <c r="D327" s="4">
        <v>954.22</v>
      </c>
      <c r="E327" s="4">
        <v>14563.8</v>
      </c>
      <c r="F327" s="4">
        <v>44.28</v>
      </c>
      <c r="G327" s="4">
        <v>46.82</v>
      </c>
      <c r="H327" s="4">
        <v>7705.65</v>
      </c>
      <c r="I327" s="4">
        <v>1245.55</v>
      </c>
      <c r="J327" s="4">
        <v>95.5</v>
      </c>
      <c r="K327" s="10">
        <f t="shared" si="10"/>
        <v>-1.4659685863874405E-2</v>
      </c>
      <c r="L327" s="4">
        <v>1181.2700199999999</v>
      </c>
      <c r="M327" s="10">
        <f t="shared" si="11"/>
        <v>1.8903346078316657E-2</v>
      </c>
      <c r="N327" s="11">
        <v>3.5098699999999997E-2</v>
      </c>
    </row>
    <row r="328" spans="1:14" x14ac:dyDescent="0.2">
      <c r="A328" s="3" t="s">
        <v>334</v>
      </c>
      <c r="B328" s="5">
        <v>1882.8</v>
      </c>
      <c r="C328" s="5">
        <v>3247.1</v>
      </c>
      <c r="D328" s="5">
        <v>972.97</v>
      </c>
      <c r="E328" s="5">
        <v>15415.6</v>
      </c>
      <c r="F328" s="5">
        <v>45.56</v>
      </c>
      <c r="G328" s="5">
        <v>47.96</v>
      </c>
      <c r="H328" s="5">
        <v>8106.33</v>
      </c>
      <c r="I328" s="5">
        <v>1323.1</v>
      </c>
      <c r="J328" s="5">
        <v>94.1</v>
      </c>
      <c r="K328" s="10">
        <f t="shared" si="10"/>
        <v>-1.5940488841657812E-2</v>
      </c>
      <c r="L328" s="4">
        <v>1203.599976</v>
      </c>
      <c r="M328" s="10">
        <f t="shared" si="11"/>
        <v>-1.9117655748441098E-2</v>
      </c>
      <c r="N328" s="11">
        <v>-1.1749000000000001E-2</v>
      </c>
    </row>
    <row r="329" spans="1:14" x14ac:dyDescent="0.2">
      <c r="A329" s="3" t="s">
        <v>335</v>
      </c>
      <c r="B329" s="4">
        <v>1987.52</v>
      </c>
      <c r="C329" s="4">
        <v>3378.9</v>
      </c>
      <c r="D329" s="4">
        <v>1001.69</v>
      </c>
      <c r="E329" s="4">
        <v>16239.9</v>
      </c>
      <c r="F329" s="4">
        <v>53.08</v>
      </c>
      <c r="G329" s="4">
        <v>54.17</v>
      </c>
      <c r="H329" s="4">
        <v>8442.24</v>
      </c>
      <c r="I329" s="4">
        <v>1373.96</v>
      </c>
      <c r="J329" s="4">
        <v>92.6</v>
      </c>
      <c r="K329" s="10">
        <f t="shared" si="10"/>
        <v>-5.2915766738660816E-2</v>
      </c>
      <c r="L329" s="4">
        <v>1180.589966</v>
      </c>
      <c r="M329" s="10">
        <f t="shared" si="11"/>
        <v>-2.0108581881679344E-2</v>
      </c>
      <c r="N329" s="11">
        <v>-2.7382900000000002E-2</v>
      </c>
    </row>
    <row r="330" spans="1:14" x14ac:dyDescent="0.2">
      <c r="A330" s="3" t="s">
        <v>336</v>
      </c>
      <c r="B330" s="5">
        <v>1892.01</v>
      </c>
      <c r="C330" s="5">
        <v>3389.81</v>
      </c>
      <c r="D330" s="5">
        <v>980.48</v>
      </c>
      <c r="E330" s="5">
        <v>16138.3</v>
      </c>
      <c r="F330" s="5">
        <v>51.86</v>
      </c>
      <c r="G330" s="5">
        <v>52.96</v>
      </c>
      <c r="H330" s="5">
        <v>8133.81</v>
      </c>
      <c r="I330" s="5">
        <v>1297.81</v>
      </c>
      <c r="J330" s="5">
        <v>87.7</v>
      </c>
      <c r="K330" s="10">
        <f t="shared" si="10"/>
        <v>-9.1220068415050985E-3</v>
      </c>
      <c r="L330" s="4">
        <v>1156.849976</v>
      </c>
      <c r="M330" s="10">
        <f t="shared" si="11"/>
        <v>2.9952046262565708E-2</v>
      </c>
      <c r="N330" s="11">
        <v>2.0490999999999999E-2</v>
      </c>
    </row>
    <row r="331" spans="1:14" x14ac:dyDescent="0.2">
      <c r="A331" s="3" t="s">
        <v>337</v>
      </c>
      <c r="B331" s="4">
        <v>1741.45</v>
      </c>
      <c r="C331" s="4">
        <v>3241.9</v>
      </c>
      <c r="D331" s="4">
        <v>985.29</v>
      </c>
      <c r="E331" s="4">
        <v>17002.3</v>
      </c>
      <c r="F331" s="4">
        <v>48.67</v>
      </c>
      <c r="G331" s="4">
        <v>49.81</v>
      </c>
      <c r="H331" s="4">
        <v>8099.25</v>
      </c>
      <c r="I331" s="4">
        <v>1245.54</v>
      </c>
      <c r="J331" s="4">
        <v>86.9</v>
      </c>
      <c r="K331" s="10">
        <f t="shared" si="10"/>
        <v>0.10471806674338313</v>
      </c>
      <c r="L331" s="4">
        <v>1191.5</v>
      </c>
      <c r="M331" s="10">
        <f t="shared" si="11"/>
        <v>-1.4271422576580921E-4</v>
      </c>
      <c r="N331" s="11">
        <v>2.9812399999999999E-2</v>
      </c>
    </row>
    <row r="332" spans="1:14" x14ac:dyDescent="0.2">
      <c r="A332" s="3" t="s">
        <v>338</v>
      </c>
      <c r="B332" s="5">
        <v>1731.94</v>
      </c>
      <c r="C332" s="5">
        <v>3529.73</v>
      </c>
      <c r="D332" s="5">
        <v>982.65</v>
      </c>
      <c r="E332" s="5">
        <v>16113.2</v>
      </c>
      <c r="F332" s="5">
        <v>54.31</v>
      </c>
      <c r="G332" s="5">
        <v>56.39</v>
      </c>
      <c r="H332" s="5">
        <v>7604.36</v>
      </c>
      <c r="I332" s="5">
        <v>1273.1199999999999</v>
      </c>
      <c r="J332" s="5">
        <v>96</v>
      </c>
      <c r="K332" s="10">
        <f t="shared" si="10"/>
        <v>5.208333333333333E-3</v>
      </c>
      <c r="L332" s="4">
        <v>1191.329956</v>
      </c>
      <c r="M332" s="10">
        <f t="shared" si="11"/>
        <v>3.5968287193812398E-2</v>
      </c>
      <c r="N332" s="11">
        <v>1.5692399999999999E-2</v>
      </c>
    </row>
    <row r="333" spans="1:14" x14ac:dyDescent="0.2">
      <c r="A333" s="3" t="s">
        <v>339</v>
      </c>
      <c r="B333" s="4">
        <v>1783.26</v>
      </c>
      <c r="C333" s="4">
        <v>3608.48</v>
      </c>
      <c r="D333" s="4">
        <v>857.52</v>
      </c>
      <c r="E333" s="4">
        <v>14587.6</v>
      </c>
      <c r="F333" s="4">
        <v>57.58</v>
      </c>
      <c r="G333" s="4">
        <v>58.67</v>
      </c>
      <c r="H333" s="4">
        <v>7180.93</v>
      </c>
      <c r="I333" s="4">
        <v>1196.8599999999999</v>
      </c>
      <c r="J333" s="4">
        <v>96.5</v>
      </c>
      <c r="K333" s="10">
        <f t="shared" si="10"/>
        <v>-7.6683937823834258E-2</v>
      </c>
      <c r="L333" s="4">
        <v>1234.1800539999999</v>
      </c>
      <c r="M333" s="10">
        <f t="shared" si="11"/>
        <v>-1.1222104874496611E-2</v>
      </c>
      <c r="N333" s="11">
        <v>-0.17073179999999999</v>
      </c>
    </row>
    <row r="334" spans="1:14" x14ac:dyDescent="0.2">
      <c r="A334" s="3" t="s">
        <v>340</v>
      </c>
      <c r="B334" s="5">
        <v>1871.27</v>
      </c>
      <c r="C334" s="5">
        <v>3791.91</v>
      </c>
      <c r="D334" s="5">
        <v>887.42</v>
      </c>
      <c r="E334" s="5">
        <v>14962</v>
      </c>
      <c r="F334" s="5">
        <v>64.09</v>
      </c>
      <c r="G334" s="5">
        <v>64.959999999999994</v>
      </c>
      <c r="H334" s="5">
        <v>7228.14</v>
      </c>
      <c r="I334" s="5">
        <v>1300.75</v>
      </c>
      <c r="J334" s="5">
        <v>89.1</v>
      </c>
      <c r="K334" s="10">
        <f t="shared" si="10"/>
        <v>-0.13692480359147013</v>
      </c>
      <c r="L334" s="4">
        <v>1220.329956</v>
      </c>
      <c r="M334" s="10">
        <f t="shared" si="11"/>
        <v>6.9490246947603992E-3</v>
      </c>
      <c r="N334" s="11">
        <v>-0.14270240000000001</v>
      </c>
    </row>
    <row r="335" spans="1:14" x14ac:dyDescent="0.2">
      <c r="A335" s="3" t="s">
        <v>341</v>
      </c>
      <c r="B335" s="4">
        <v>1837.69</v>
      </c>
      <c r="C335" s="4">
        <v>3850.66</v>
      </c>
      <c r="D335" s="4">
        <v>932.77</v>
      </c>
      <c r="E335" s="4">
        <v>14154.5</v>
      </c>
      <c r="F335" s="4">
        <v>62.98</v>
      </c>
      <c r="G335" s="4">
        <v>65.540000000000006</v>
      </c>
      <c r="H335" s="4">
        <v>6770.58</v>
      </c>
      <c r="I335" s="4">
        <v>1396.66</v>
      </c>
      <c r="J335" s="4">
        <v>76.900000000000006</v>
      </c>
      <c r="K335" s="10">
        <f t="shared" si="10"/>
        <v>-3.5110533159948019E-2</v>
      </c>
      <c r="L335" s="4">
        <v>1228.8100589999999</v>
      </c>
      <c r="M335" s="10">
        <f t="shared" si="11"/>
        <v>-1.7740780066319385E-2</v>
      </c>
      <c r="N335" s="11">
        <v>-8.72806E-2</v>
      </c>
    </row>
    <row r="336" spans="1:14" x14ac:dyDescent="0.2">
      <c r="A336" s="3" t="s">
        <v>342</v>
      </c>
      <c r="B336" s="5">
        <v>1934.14</v>
      </c>
      <c r="C336" s="5">
        <v>4056.17</v>
      </c>
      <c r="D336" s="5">
        <v>999.4</v>
      </c>
      <c r="E336" s="5">
        <v>12431.1</v>
      </c>
      <c r="F336" s="5">
        <v>58.52</v>
      </c>
      <c r="G336" s="5">
        <v>62.36</v>
      </c>
      <c r="H336" s="5">
        <v>6415.48</v>
      </c>
      <c r="I336" s="5">
        <v>1483.22</v>
      </c>
      <c r="J336" s="5">
        <v>74.2</v>
      </c>
      <c r="K336" s="10">
        <f t="shared" si="10"/>
        <v>9.9730458221024137E-2</v>
      </c>
      <c r="L336" s="4">
        <v>1207.01001</v>
      </c>
      <c r="M336" s="10">
        <f t="shared" si="11"/>
        <v>3.518609592972647E-2</v>
      </c>
      <c r="N336" s="11">
        <v>-5.3051800000000003E-2</v>
      </c>
    </row>
    <row r="337" spans="1:14" x14ac:dyDescent="0.2">
      <c r="A337" s="3" t="s">
        <v>343</v>
      </c>
      <c r="B337" s="4">
        <v>2056.9699999999998</v>
      </c>
      <c r="C337" s="4">
        <v>4278.16</v>
      </c>
      <c r="D337" s="4">
        <v>1017.84</v>
      </c>
      <c r="E337" s="4">
        <v>12235</v>
      </c>
      <c r="F337" s="4">
        <v>55.53</v>
      </c>
      <c r="G337" s="4">
        <v>58.28</v>
      </c>
      <c r="H337" s="4">
        <v>6173.72</v>
      </c>
      <c r="I337" s="4">
        <v>1610.65</v>
      </c>
      <c r="J337" s="4">
        <v>81.599999999999994</v>
      </c>
      <c r="K337" s="10">
        <f t="shared" si="10"/>
        <v>0.12132352941176479</v>
      </c>
      <c r="L337" s="4">
        <v>1249.4799800000001</v>
      </c>
      <c r="M337" s="10">
        <f t="shared" si="11"/>
        <v>-9.5234899241850176E-4</v>
      </c>
      <c r="N337" s="11">
        <v>-1.2995100000000001E-2</v>
      </c>
    </row>
    <row r="338" spans="1:14" x14ac:dyDescent="0.2">
      <c r="A338" s="3" t="s">
        <v>344</v>
      </c>
      <c r="B338" s="5">
        <v>2250.9</v>
      </c>
      <c r="C338" s="5">
        <v>4577.0200000000004</v>
      </c>
      <c r="D338" s="5">
        <v>1120.1500000000001</v>
      </c>
      <c r="E338" s="5">
        <v>13490.5</v>
      </c>
      <c r="F338" s="5">
        <v>56.75</v>
      </c>
      <c r="G338" s="5">
        <v>59.41</v>
      </c>
      <c r="H338" s="5">
        <v>6762.5</v>
      </c>
      <c r="I338" s="5">
        <v>1819.36</v>
      </c>
      <c r="J338" s="5">
        <v>91.5</v>
      </c>
      <c r="K338" s="10">
        <f t="shared" si="10"/>
        <v>-3.2786885245901327E-3</v>
      </c>
      <c r="L338" s="4">
        <v>1248.290039</v>
      </c>
      <c r="M338" s="10">
        <f t="shared" si="11"/>
        <v>2.5466771348641722E-2</v>
      </c>
      <c r="N338" s="11">
        <v>5.3817700000000003E-2</v>
      </c>
    </row>
    <row r="339" spans="1:14" x14ac:dyDescent="0.2">
      <c r="A339" s="3" t="s">
        <v>345</v>
      </c>
      <c r="B339" s="4">
        <v>2383.3000000000002</v>
      </c>
      <c r="C339" s="4">
        <v>4743.8599999999997</v>
      </c>
      <c r="D339" s="4">
        <v>1258.1400000000001</v>
      </c>
      <c r="E339" s="4">
        <v>14660.8</v>
      </c>
      <c r="F339" s="4">
        <v>63.57</v>
      </c>
      <c r="G339" s="4">
        <v>65.48</v>
      </c>
      <c r="H339" s="4">
        <v>7067.36</v>
      </c>
      <c r="I339" s="4">
        <v>2091.77</v>
      </c>
      <c r="J339" s="4">
        <v>91.2</v>
      </c>
      <c r="K339" s="10">
        <f t="shared" si="10"/>
        <v>-4.9342105263157895E-2</v>
      </c>
      <c r="L339" s="4">
        <v>1280.079956</v>
      </c>
      <c r="M339" s="10">
        <f t="shared" si="11"/>
        <v>4.5315763072534016E-4</v>
      </c>
      <c r="N339" s="11">
        <v>-1.38759E-2</v>
      </c>
    </row>
    <row r="340" spans="1:14" x14ac:dyDescent="0.2">
      <c r="A340" s="3" t="s">
        <v>346</v>
      </c>
      <c r="B340" s="5">
        <v>2453.37</v>
      </c>
      <c r="C340" s="5">
        <v>4974.9799999999996</v>
      </c>
      <c r="D340" s="5">
        <v>1267.44</v>
      </c>
      <c r="E340" s="5">
        <v>14974.5</v>
      </c>
      <c r="F340" s="5">
        <v>59.92</v>
      </c>
      <c r="G340" s="5">
        <v>61.62</v>
      </c>
      <c r="H340" s="5">
        <v>7788.86</v>
      </c>
      <c r="I340" s="5">
        <v>2219.75</v>
      </c>
      <c r="J340" s="5">
        <v>86.7</v>
      </c>
      <c r="K340" s="10">
        <f t="shared" si="10"/>
        <v>2.5374855824682845E-2</v>
      </c>
      <c r="L340" s="4">
        <v>1280.660034</v>
      </c>
      <c r="M340" s="10">
        <f t="shared" si="11"/>
        <v>1.1095810459249501E-2</v>
      </c>
      <c r="N340" s="11">
        <v>-9.9598699999999998E-2</v>
      </c>
    </row>
    <row r="341" spans="1:14" x14ac:dyDescent="0.2">
      <c r="A341" s="3" t="s">
        <v>347</v>
      </c>
      <c r="B341" s="4">
        <v>2432.48</v>
      </c>
      <c r="C341" s="4">
        <v>5123.67</v>
      </c>
      <c r="D341" s="4">
        <v>1193.8900000000001</v>
      </c>
      <c r="E341" s="4">
        <v>14925.5</v>
      </c>
      <c r="F341" s="4">
        <v>62.25</v>
      </c>
      <c r="G341" s="4">
        <v>62.89</v>
      </c>
      <c r="H341" s="4">
        <v>7949.02</v>
      </c>
      <c r="I341" s="4">
        <v>2427.66</v>
      </c>
      <c r="J341" s="4">
        <v>88.9</v>
      </c>
      <c r="K341" s="10">
        <f t="shared" si="10"/>
        <v>-1.6872890888638917E-2</v>
      </c>
      <c r="L341" s="4">
        <v>1294.869995</v>
      </c>
      <c r="M341" s="10">
        <f t="shared" si="11"/>
        <v>1.215565273794149E-2</v>
      </c>
      <c r="N341" s="11">
        <v>-0.1253938</v>
      </c>
    </row>
    <row r="342" spans="1:14" x14ac:dyDescent="0.2">
      <c r="A342" s="3" t="s">
        <v>348</v>
      </c>
      <c r="B342" s="5">
        <v>2623.86</v>
      </c>
      <c r="C342" s="5">
        <v>6404.44</v>
      </c>
      <c r="D342" s="5">
        <v>1170.56</v>
      </c>
      <c r="E342" s="5">
        <v>18028.900000000001</v>
      </c>
      <c r="F342" s="5">
        <v>70.44</v>
      </c>
      <c r="G342" s="5">
        <v>69.540000000000006</v>
      </c>
      <c r="H342" s="5">
        <v>8859.66</v>
      </c>
      <c r="I342" s="5">
        <v>3068.34</v>
      </c>
      <c r="J342" s="5">
        <v>87.4</v>
      </c>
      <c r="K342" s="10">
        <f t="shared" si="10"/>
        <v>-9.4965675057208362E-2</v>
      </c>
      <c r="L342" s="4">
        <v>1310.6099850000001</v>
      </c>
      <c r="M342" s="10">
        <f t="shared" si="11"/>
        <v>-3.0916916141150906E-2</v>
      </c>
      <c r="N342" s="11">
        <v>-0.17444270000000001</v>
      </c>
    </row>
    <row r="343" spans="1:14" x14ac:dyDescent="0.2">
      <c r="A343" s="3" t="s">
        <v>349</v>
      </c>
      <c r="B343" s="4">
        <v>2852.07</v>
      </c>
      <c r="C343" s="4">
        <v>8059.19</v>
      </c>
      <c r="D343" s="4">
        <v>1167.5</v>
      </c>
      <c r="E343" s="4">
        <v>21131.3</v>
      </c>
      <c r="F343" s="4">
        <v>70.19</v>
      </c>
      <c r="G343" s="4">
        <v>70.930000000000007</v>
      </c>
      <c r="H343" s="4">
        <v>8793.17</v>
      </c>
      <c r="I343" s="4">
        <v>3544.64</v>
      </c>
      <c r="J343" s="4">
        <v>79.099999999999994</v>
      </c>
      <c r="K343" s="10">
        <f t="shared" si="10"/>
        <v>7.3324905183312417E-2</v>
      </c>
      <c r="L343" s="4">
        <v>1270.089966</v>
      </c>
      <c r="M343" s="10">
        <f t="shared" si="11"/>
        <v>8.659622778253766E-5</v>
      </c>
      <c r="N343" s="11">
        <v>-4.11201E-2</v>
      </c>
    </row>
    <row r="344" spans="1:14" x14ac:dyDescent="0.2">
      <c r="A344" s="3" t="s">
        <v>350</v>
      </c>
      <c r="B344" s="5">
        <v>2490.9499999999998</v>
      </c>
      <c r="C344" s="5">
        <v>7222.77</v>
      </c>
      <c r="D344" s="5">
        <v>963.61</v>
      </c>
      <c r="E344" s="5">
        <v>20585.900000000001</v>
      </c>
      <c r="F344" s="5">
        <v>68.86</v>
      </c>
      <c r="G344" s="5">
        <v>70.930000000000007</v>
      </c>
      <c r="H344" s="5">
        <v>7858.77</v>
      </c>
      <c r="I344" s="5">
        <v>3197.59</v>
      </c>
      <c r="J344" s="5">
        <v>84.9</v>
      </c>
      <c r="K344" s="10">
        <f t="shared" si="10"/>
        <v>-2.3557126030624596E-3</v>
      </c>
      <c r="L344" s="4">
        <v>1270.1999510000001</v>
      </c>
      <c r="M344" s="10">
        <f t="shared" si="11"/>
        <v>5.085878797990869E-3</v>
      </c>
      <c r="N344" s="11">
        <v>2.41304E-2</v>
      </c>
    </row>
    <row r="345" spans="1:14" x14ac:dyDescent="0.2">
      <c r="A345" s="3" t="s">
        <v>351</v>
      </c>
      <c r="B345" s="4">
        <v>2511.83</v>
      </c>
      <c r="C345" s="4">
        <v>7726.74</v>
      </c>
      <c r="D345" s="4">
        <v>1053.26</v>
      </c>
      <c r="E345" s="4">
        <v>26185.7</v>
      </c>
      <c r="F345" s="4">
        <v>73.900000000000006</v>
      </c>
      <c r="G345" s="4">
        <v>74.400000000000006</v>
      </c>
      <c r="H345" s="4">
        <v>8356.44</v>
      </c>
      <c r="I345" s="4">
        <v>3320.74</v>
      </c>
      <c r="J345" s="4">
        <v>84.7</v>
      </c>
      <c r="K345" s="10">
        <f t="shared" si="10"/>
        <v>-3.1877213695395548E-2</v>
      </c>
      <c r="L345" s="4">
        <v>1276.660034</v>
      </c>
      <c r="M345" s="10">
        <f t="shared" si="11"/>
        <v>2.127419303234809E-2</v>
      </c>
      <c r="N345" s="11">
        <v>0.108588</v>
      </c>
    </row>
    <row r="346" spans="1:14" x14ac:dyDescent="0.2">
      <c r="A346" s="3" t="s">
        <v>352</v>
      </c>
      <c r="B346" s="5">
        <v>2461.5500000000002</v>
      </c>
      <c r="C346" s="5">
        <v>7690.25</v>
      </c>
      <c r="D346" s="5">
        <v>1179.32</v>
      </c>
      <c r="E346" s="5">
        <v>30468.9</v>
      </c>
      <c r="F346" s="5">
        <v>73.61</v>
      </c>
      <c r="G346" s="5">
        <v>73.040000000000006</v>
      </c>
      <c r="H346" s="5">
        <v>8436.68</v>
      </c>
      <c r="I346" s="5">
        <v>3339.97</v>
      </c>
      <c r="J346" s="5">
        <v>82</v>
      </c>
      <c r="K346" s="10">
        <f t="shared" si="10"/>
        <v>4.1463414634146413E-2</v>
      </c>
      <c r="L346" s="4">
        <v>1303.8199460000001</v>
      </c>
      <c r="M346" s="10">
        <f t="shared" si="11"/>
        <v>2.4566298512509407E-2</v>
      </c>
      <c r="N346" s="11">
        <v>0.1192042</v>
      </c>
    </row>
    <row r="347" spans="1:14" x14ac:dyDescent="0.2">
      <c r="A347" s="3" t="s">
        <v>353</v>
      </c>
      <c r="B347" s="4">
        <v>2484.38</v>
      </c>
      <c r="C347" s="4">
        <v>7622.64</v>
      </c>
      <c r="D347" s="4">
        <v>1346.53</v>
      </c>
      <c r="E347" s="4">
        <v>29702.6</v>
      </c>
      <c r="F347" s="4">
        <v>62.77</v>
      </c>
      <c r="G347" s="4">
        <v>63.82</v>
      </c>
      <c r="H347" s="4">
        <v>8975.02</v>
      </c>
      <c r="I347" s="4">
        <v>3394.06</v>
      </c>
      <c r="J347" s="4">
        <v>85.4</v>
      </c>
      <c r="K347" s="10">
        <f t="shared" si="10"/>
        <v>9.6018735362997515E-2</v>
      </c>
      <c r="L347" s="4">
        <v>1335.849976</v>
      </c>
      <c r="M347" s="10">
        <f t="shared" si="11"/>
        <v>3.1508002961554211E-2</v>
      </c>
      <c r="N347" s="11">
        <v>0.14121220000000001</v>
      </c>
    </row>
    <row r="348" spans="1:14" x14ac:dyDescent="0.2">
      <c r="A348" s="3" t="s">
        <v>354</v>
      </c>
      <c r="B348" s="5">
        <v>2657.15</v>
      </c>
      <c r="C348" s="5">
        <v>7497.41</v>
      </c>
      <c r="D348" s="5">
        <v>1525.66</v>
      </c>
      <c r="E348" s="5">
        <v>32551.1</v>
      </c>
      <c r="F348" s="5">
        <v>58.38</v>
      </c>
      <c r="G348" s="5">
        <v>58.85</v>
      </c>
      <c r="H348" s="5">
        <v>9809.5</v>
      </c>
      <c r="I348" s="5">
        <v>3829.6</v>
      </c>
      <c r="J348" s="5">
        <v>93.6</v>
      </c>
      <c r="K348" s="10">
        <f t="shared" si="10"/>
        <v>-1.6025641025641028E-2</v>
      </c>
      <c r="L348" s="4">
        <v>1377.9399410000001</v>
      </c>
      <c r="M348" s="10">
        <f t="shared" si="11"/>
        <v>1.6466656727820252E-2</v>
      </c>
      <c r="N348" s="11">
        <v>0.1337718</v>
      </c>
    </row>
    <row r="349" spans="1:14" x14ac:dyDescent="0.2">
      <c r="A349" s="3" t="s">
        <v>355</v>
      </c>
      <c r="B349" s="4">
        <v>2702.14</v>
      </c>
      <c r="C349" s="4">
        <v>7029.3</v>
      </c>
      <c r="D349" s="4">
        <v>1626.02</v>
      </c>
      <c r="E349" s="4">
        <v>31891.599999999999</v>
      </c>
      <c r="F349" s="4">
        <v>58.48</v>
      </c>
      <c r="G349" s="4">
        <v>59.13</v>
      </c>
      <c r="H349" s="4">
        <v>10038.4</v>
      </c>
      <c r="I349" s="4">
        <v>4378.6099999999997</v>
      </c>
      <c r="J349" s="4">
        <v>92.1</v>
      </c>
      <c r="K349" s="10">
        <f t="shared" si="10"/>
        <v>-4.3431053203039248E-3</v>
      </c>
      <c r="L349" s="4">
        <v>1400.630005</v>
      </c>
      <c r="M349" s="10">
        <f t="shared" si="11"/>
        <v>1.2615782852659909E-2</v>
      </c>
      <c r="N349" s="11">
        <v>0.20869199999999999</v>
      </c>
    </row>
    <row r="350" spans="1:14" x14ac:dyDescent="0.2">
      <c r="A350" s="3" t="s">
        <v>356</v>
      </c>
      <c r="B350" s="5">
        <v>2823.67</v>
      </c>
      <c r="C350" s="5">
        <v>6680.97</v>
      </c>
      <c r="D350" s="5">
        <v>1709.16</v>
      </c>
      <c r="E350" s="5">
        <v>34400.5</v>
      </c>
      <c r="F350" s="5">
        <v>62.31</v>
      </c>
      <c r="G350" s="5">
        <v>62</v>
      </c>
      <c r="H350" s="5">
        <v>11125.9</v>
      </c>
      <c r="I350" s="5">
        <v>4381.45</v>
      </c>
      <c r="J350" s="5">
        <v>91.7</v>
      </c>
      <c r="K350" s="10">
        <f t="shared" si="10"/>
        <v>5.6706652126499481E-2</v>
      </c>
      <c r="L350" s="4">
        <v>1418.3000489999999</v>
      </c>
      <c r="M350" s="10">
        <f t="shared" si="11"/>
        <v>1.4059042735039834E-2</v>
      </c>
      <c r="N350" s="11">
        <v>0.20038049999999999</v>
      </c>
    </row>
    <row r="351" spans="1:14" x14ac:dyDescent="0.2">
      <c r="A351" s="3" t="s">
        <v>357</v>
      </c>
      <c r="B351" s="4">
        <v>2799.06</v>
      </c>
      <c r="C351" s="4">
        <v>5689.34</v>
      </c>
      <c r="D351" s="4">
        <v>1664.34</v>
      </c>
      <c r="E351" s="4">
        <v>36821.599999999999</v>
      </c>
      <c r="F351" s="4">
        <v>54.3</v>
      </c>
      <c r="G351" s="4">
        <v>54.24</v>
      </c>
      <c r="H351" s="4">
        <v>11331.5</v>
      </c>
      <c r="I351" s="4">
        <v>3784.86</v>
      </c>
      <c r="J351" s="4">
        <v>96.9</v>
      </c>
      <c r="K351" s="10">
        <f t="shared" si="10"/>
        <v>-5.7791537667698741E-2</v>
      </c>
      <c r="L351" s="4">
        <v>1438.23999</v>
      </c>
      <c r="M351" s="10">
        <f t="shared" si="11"/>
        <v>-2.1846176033528286E-2</v>
      </c>
      <c r="N351" s="11">
        <v>0.26531339999999998</v>
      </c>
    </row>
    <row r="352" spans="1:14" x14ac:dyDescent="0.2">
      <c r="A352" s="3" t="s">
        <v>358</v>
      </c>
      <c r="B352" s="5">
        <v>2839.05</v>
      </c>
      <c r="C352" s="5">
        <v>5718.15</v>
      </c>
      <c r="D352" s="5">
        <v>1775.08</v>
      </c>
      <c r="E352" s="5">
        <v>41078.300000000003</v>
      </c>
      <c r="F352" s="5">
        <v>57.76</v>
      </c>
      <c r="G352" s="5">
        <v>59.25</v>
      </c>
      <c r="H352" s="5">
        <v>12890.2</v>
      </c>
      <c r="I352" s="5">
        <v>3321.38</v>
      </c>
      <c r="J352" s="5">
        <v>91.3</v>
      </c>
      <c r="K352" s="10">
        <f t="shared" si="10"/>
        <v>-3.1763417305585885E-2</v>
      </c>
      <c r="L352" s="4">
        <v>1406.8199460000001</v>
      </c>
      <c r="M352" s="10">
        <f t="shared" si="11"/>
        <v>9.9799828968304798E-3</v>
      </c>
      <c r="N352" s="11">
        <v>0.46598050000000002</v>
      </c>
    </row>
    <row r="353" spans="1:14" x14ac:dyDescent="0.2">
      <c r="A353" s="3" t="s">
        <v>359</v>
      </c>
      <c r="B353" s="4">
        <v>2757.08</v>
      </c>
      <c r="C353" s="4">
        <v>6465.3</v>
      </c>
      <c r="D353" s="4">
        <v>1908.98</v>
      </c>
      <c r="E353" s="4">
        <v>46125.2</v>
      </c>
      <c r="F353" s="4">
        <v>62.14</v>
      </c>
      <c r="G353" s="4">
        <v>60.6</v>
      </c>
      <c r="H353" s="4">
        <v>13787.3</v>
      </c>
      <c r="I353" s="4">
        <v>3256.18</v>
      </c>
      <c r="J353" s="4">
        <v>88.4</v>
      </c>
      <c r="K353" s="10">
        <f t="shared" si="10"/>
        <v>-1.4705882352941305E-2</v>
      </c>
      <c r="L353" s="4">
        <v>1420.8599850000001</v>
      </c>
      <c r="M353" s="10">
        <f t="shared" si="11"/>
        <v>4.329069060242411E-2</v>
      </c>
      <c r="N353" s="11">
        <v>0.52589390000000003</v>
      </c>
    </row>
    <row r="354" spans="1:14" x14ac:dyDescent="0.2">
      <c r="A354" s="3" t="s">
        <v>360</v>
      </c>
      <c r="B354" s="5">
        <v>2817.05</v>
      </c>
      <c r="C354" s="5">
        <v>7753.34</v>
      </c>
      <c r="D354" s="5">
        <v>1984.16</v>
      </c>
      <c r="E354" s="5">
        <v>49956.6</v>
      </c>
      <c r="F354" s="5">
        <v>67.400000000000006</v>
      </c>
      <c r="G354" s="5">
        <v>63.94</v>
      </c>
      <c r="H354" s="5">
        <v>13952.8</v>
      </c>
      <c r="I354" s="5">
        <v>3566.86</v>
      </c>
      <c r="J354" s="5">
        <v>87.1</v>
      </c>
      <c r="K354" s="10">
        <f t="shared" si="10"/>
        <v>1.3777267508610826E-2</v>
      </c>
      <c r="L354" s="4">
        <v>1482.369995</v>
      </c>
      <c r="M354" s="10">
        <f t="shared" si="11"/>
        <v>3.254922870993486E-2</v>
      </c>
      <c r="N354" s="11">
        <v>0.58028979999999997</v>
      </c>
    </row>
    <row r="355" spans="1:14" x14ac:dyDescent="0.2">
      <c r="A355" s="3" t="s">
        <v>361</v>
      </c>
      <c r="B355" s="4">
        <v>2804.6</v>
      </c>
      <c r="C355" s="4">
        <v>7677.95</v>
      </c>
      <c r="D355" s="4">
        <v>2106</v>
      </c>
      <c r="E355" s="4">
        <v>51783.3</v>
      </c>
      <c r="F355" s="4">
        <v>67.48</v>
      </c>
      <c r="G355" s="4">
        <v>63.45</v>
      </c>
      <c r="H355" s="4">
        <v>14162.1</v>
      </c>
      <c r="I355" s="4">
        <v>3847.52</v>
      </c>
      <c r="J355" s="4">
        <v>88.3</v>
      </c>
      <c r="K355" s="10">
        <f t="shared" si="10"/>
        <v>-3.3975084937712348E-2</v>
      </c>
      <c r="L355" s="4">
        <v>1530.619995</v>
      </c>
      <c r="M355" s="10">
        <f t="shared" si="11"/>
        <v>-1.7816322202167525E-2</v>
      </c>
      <c r="N355" s="11">
        <v>0.31081180000000003</v>
      </c>
    </row>
    <row r="356" spans="1:14" x14ac:dyDescent="0.2">
      <c r="A356" s="3" t="s">
        <v>362</v>
      </c>
      <c r="B356" s="5">
        <v>2681.31</v>
      </c>
      <c r="C356" s="5">
        <v>7514.24</v>
      </c>
      <c r="D356" s="5">
        <v>2436.64</v>
      </c>
      <c r="E356" s="5">
        <v>41551.699999999997</v>
      </c>
      <c r="F356" s="5">
        <v>71.319999999999993</v>
      </c>
      <c r="G356" s="5">
        <v>67.489999999999995</v>
      </c>
      <c r="H356" s="5">
        <v>14078.8</v>
      </c>
      <c r="I356" s="5">
        <v>3628.65</v>
      </c>
      <c r="J356" s="5">
        <v>85.3</v>
      </c>
      <c r="K356" s="10">
        <f t="shared" si="10"/>
        <v>5.9788980070340079E-2</v>
      </c>
      <c r="L356" s="4">
        <v>1503.349976</v>
      </c>
      <c r="M356" s="10">
        <f t="shared" si="11"/>
        <v>-3.1981878316802555E-2</v>
      </c>
      <c r="N356" s="11">
        <v>0.32834350000000001</v>
      </c>
    </row>
    <row r="357" spans="1:14" x14ac:dyDescent="0.2">
      <c r="A357" s="3" t="s">
        <v>363</v>
      </c>
      <c r="B357" s="4">
        <v>2738.09</v>
      </c>
      <c r="C357" s="4">
        <v>7980.93</v>
      </c>
      <c r="D357" s="4">
        <v>3072.43</v>
      </c>
      <c r="E357" s="4">
        <v>33400.199999999997</v>
      </c>
      <c r="F357" s="4">
        <v>77.2</v>
      </c>
      <c r="G357" s="4">
        <v>74.14</v>
      </c>
      <c r="H357" s="4">
        <v>14732.7</v>
      </c>
      <c r="I357" s="4">
        <v>3546.3</v>
      </c>
      <c r="J357" s="4">
        <v>90.4</v>
      </c>
      <c r="K357" s="10">
        <f t="shared" si="10"/>
        <v>-7.7433628318584066E-2</v>
      </c>
      <c r="L357" s="4">
        <v>1455.2700199999999</v>
      </c>
      <c r="M357" s="10">
        <f t="shared" si="11"/>
        <v>1.2863571531556806E-2</v>
      </c>
      <c r="N357" s="11">
        <v>0.23960419999999999</v>
      </c>
    </row>
    <row r="358" spans="1:14" x14ac:dyDescent="0.2">
      <c r="A358" s="3" t="s">
        <v>364</v>
      </c>
      <c r="B358" s="5">
        <v>2512.6</v>
      </c>
      <c r="C358" s="5">
        <v>7500.2</v>
      </c>
      <c r="D358" s="5">
        <v>3115.19</v>
      </c>
      <c r="E358" s="5">
        <v>27649.599999999999</v>
      </c>
      <c r="F358" s="5">
        <v>70.8</v>
      </c>
      <c r="G358" s="5">
        <v>72.38</v>
      </c>
      <c r="H358" s="5">
        <v>15047</v>
      </c>
      <c r="I358" s="5">
        <v>3244.17</v>
      </c>
      <c r="J358" s="5">
        <v>83.4</v>
      </c>
      <c r="K358" s="10">
        <f t="shared" si="10"/>
        <v>0</v>
      </c>
      <c r="L358" s="4">
        <v>1473.98999</v>
      </c>
      <c r="M358" s="10">
        <f t="shared" si="11"/>
        <v>3.5794008343299509E-2</v>
      </c>
      <c r="N358" s="11">
        <v>0.1697476</v>
      </c>
    </row>
    <row r="359" spans="1:14" x14ac:dyDescent="0.2">
      <c r="A359" s="3" t="s">
        <v>365</v>
      </c>
      <c r="B359" s="4">
        <v>2394.96</v>
      </c>
      <c r="C359" s="4">
        <v>7671.35</v>
      </c>
      <c r="D359" s="4">
        <v>3228.03</v>
      </c>
      <c r="E359" s="4">
        <v>29548.400000000001</v>
      </c>
      <c r="F359" s="4">
        <v>77.13</v>
      </c>
      <c r="G359" s="4">
        <v>79.91</v>
      </c>
      <c r="H359" s="4">
        <v>14989</v>
      </c>
      <c r="I359" s="4">
        <v>2887.6</v>
      </c>
      <c r="J359" s="4">
        <v>83.4</v>
      </c>
      <c r="K359" s="10">
        <f t="shared" si="10"/>
        <v>-2.9976019184652276E-2</v>
      </c>
      <c r="L359" s="4">
        <v>1526.75</v>
      </c>
      <c r="M359" s="10">
        <f t="shared" si="11"/>
        <v>1.4822338300311107E-2</v>
      </c>
      <c r="N359" s="11">
        <v>0.1168231</v>
      </c>
    </row>
    <row r="360" spans="1:14" x14ac:dyDescent="0.2">
      <c r="A360" s="3" t="s">
        <v>366</v>
      </c>
      <c r="B360" s="5">
        <v>2444.5300000000002</v>
      </c>
      <c r="C360" s="5">
        <v>8020.59</v>
      </c>
      <c r="D360" s="5">
        <v>3722.61</v>
      </c>
      <c r="E360" s="5">
        <v>31156</v>
      </c>
      <c r="F360" s="5">
        <v>83.04</v>
      </c>
      <c r="G360" s="5">
        <v>85.9</v>
      </c>
      <c r="H360" s="5">
        <v>16068.3</v>
      </c>
      <c r="I360" s="5">
        <v>2979.99</v>
      </c>
      <c r="J360" s="5">
        <v>80.900000000000006</v>
      </c>
      <c r="K360" s="10">
        <f t="shared" si="10"/>
        <v>-5.9332509270704707E-2</v>
      </c>
      <c r="L360" s="4">
        <v>1549.380005</v>
      </c>
      <c r="M360" s="10">
        <f t="shared" si="11"/>
        <v>-4.4043417224814412E-2</v>
      </c>
      <c r="N360" s="11">
        <v>0.1169964</v>
      </c>
    </row>
    <row r="361" spans="1:14" x14ac:dyDescent="0.2">
      <c r="A361" s="3" t="s">
        <v>367</v>
      </c>
      <c r="B361" s="4">
        <v>2507.15</v>
      </c>
      <c r="C361" s="4">
        <v>6957.43</v>
      </c>
      <c r="D361" s="4">
        <v>3319.91</v>
      </c>
      <c r="E361" s="4">
        <v>30505.599999999999</v>
      </c>
      <c r="F361" s="4">
        <v>92.53</v>
      </c>
      <c r="G361" s="4">
        <v>94.76</v>
      </c>
      <c r="H361" s="4">
        <v>16660.8</v>
      </c>
      <c r="I361" s="4">
        <v>2554.6</v>
      </c>
      <c r="J361" s="4">
        <v>76.099999999999994</v>
      </c>
      <c r="K361" s="10">
        <f t="shared" si="10"/>
        <v>-7.8843626806832379E-3</v>
      </c>
      <c r="L361" s="4">
        <v>1481.1400149999999</v>
      </c>
      <c r="M361" s="10">
        <f t="shared" si="11"/>
        <v>-8.6285090339686069E-3</v>
      </c>
      <c r="N361" s="11">
        <v>0.1068943</v>
      </c>
    </row>
    <row r="362" spans="1:14" x14ac:dyDescent="0.2">
      <c r="A362" s="3" t="s">
        <v>368</v>
      </c>
      <c r="B362" s="5">
        <v>2382.83</v>
      </c>
      <c r="C362" s="5">
        <v>6630.74</v>
      </c>
      <c r="D362" s="5">
        <v>2616.08</v>
      </c>
      <c r="E362" s="5">
        <v>26053.599999999999</v>
      </c>
      <c r="F362" s="5">
        <v>91.45</v>
      </c>
      <c r="G362" s="5">
        <v>91.36</v>
      </c>
      <c r="H362" s="5">
        <v>16244.7</v>
      </c>
      <c r="I362" s="5">
        <v>2378.6</v>
      </c>
      <c r="J362" s="5">
        <v>75.5</v>
      </c>
      <c r="K362" s="10">
        <f t="shared" si="10"/>
        <v>3.8410596026490142E-2</v>
      </c>
      <c r="L362" s="4">
        <v>1468.3599850000001</v>
      </c>
      <c r="M362" s="10">
        <f t="shared" si="11"/>
        <v>-6.1163431935936409E-2</v>
      </c>
      <c r="N362" s="11">
        <v>7.6335600000000003E-2</v>
      </c>
    </row>
    <row r="363" spans="1:14" x14ac:dyDescent="0.2">
      <c r="A363" s="3" t="s">
        <v>369</v>
      </c>
      <c r="B363" s="4">
        <v>2456.13</v>
      </c>
      <c r="C363" s="4">
        <v>7078.91</v>
      </c>
      <c r="D363" s="4">
        <v>2621.78</v>
      </c>
      <c r="E363" s="4">
        <v>27774.799999999999</v>
      </c>
      <c r="F363" s="4">
        <v>91.92</v>
      </c>
      <c r="G363" s="4">
        <v>92.98</v>
      </c>
      <c r="H363" s="4">
        <v>16310.9</v>
      </c>
      <c r="I363" s="4">
        <v>2364.41</v>
      </c>
      <c r="J363" s="4">
        <v>78.400000000000006</v>
      </c>
      <c r="K363" s="10">
        <f t="shared" si="10"/>
        <v>-9.6938775510204189E-2</v>
      </c>
      <c r="L363" s="4">
        <v>1378.5500489999999</v>
      </c>
      <c r="M363" s="10">
        <f t="shared" si="11"/>
        <v>-3.4761192772624509E-2</v>
      </c>
      <c r="N363" s="11">
        <v>0.2080407</v>
      </c>
    </row>
    <row r="364" spans="1:14" x14ac:dyDescent="0.2">
      <c r="A364" s="3" t="s">
        <v>370</v>
      </c>
      <c r="B364" s="5">
        <v>2784.89</v>
      </c>
      <c r="C364" s="5">
        <v>7941.14</v>
      </c>
      <c r="D364" s="5">
        <v>3089.61</v>
      </c>
      <c r="E364" s="5">
        <v>28065</v>
      </c>
      <c r="F364" s="5">
        <v>94.82</v>
      </c>
      <c r="G364" s="5">
        <v>95.38</v>
      </c>
      <c r="H364" s="5">
        <v>17269.8</v>
      </c>
      <c r="I364" s="5">
        <v>2458.48</v>
      </c>
      <c r="J364" s="5">
        <v>70.8</v>
      </c>
      <c r="K364" s="10">
        <f t="shared" si="10"/>
        <v>-1.8361581920903914E-2</v>
      </c>
      <c r="L364" s="4">
        <v>1330.630005</v>
      </c>
      <c r="M364" s="10">
        <f t="shared" si="11"/>
        <v>-5.9596236145298166E-3</v>
      </c>
      <c r="N364" s="11">
        <v>0.2488918</v>
      </c>
    </row>
    <row r="365" spans="1:14" x14ac:dyDescent="0.2">
      <c r="A365" s="3" t="s">
        <v>371</v>
      </c>
      <c r="B365" s="4">
        <v>3012.05</v>
      </c>
      <c r="C365" s="4">
        <v>8434.32</v>
      </c>
      <c r="D365" s="4">
        <v>3012.93</v>
      </c>
      <c r="E365" s="4">
        <v>31093.1</v>
      </c>
      <c r="F365" s="4">
        <v>103.28</v>
      </c>
      <c r="G365" s="4">
        <v>105.47</v>
      </c>
      <c r="H365" s="4">
        <v>19799.099999999999</v>
      </c>
      <c r="I365" s="4">
        <v>2511.1799999999998</v>
      </c>
      <c r="J365" s="4">
        <v>69.5</v>
      </c>
      <c r="K365" s="10">
        <f t="shared" si="10"/>
        <v>-9.928057553956833E-2</v>
      </c>
      <c r="L365" s="4">
        <v>1322.6999510000001</v>
      </c>
      <c r="M365" s="10">
        <f t="shared" si="11"/>
        <v>4.754669791319887E-2</v>
      </c>
      <c r="N365" s="11">
        <v>0.17813889999999999</v>
      </c>
    </row>
    <row r="366" spans="1:14" x14ac:dyDescent="0.2">
      <c r="A366" s="3" t="s">
        <v>372</v>
      </c>
      <c r="B366" s="5">
        <v>2968.03</v>
      </c>
      <c r="C366" s="5">
        <v>8714.18</v>
      </c>
      <c r="D366" s="5">
        <v>2834.87</v>
      </c>
      <c r="E366" s="5">
        <v>28776.799999999999</v>
      </c>
      <c r="F366" s="5">
        <v>110.44</v>
      </c>
      <c r="G366" s="5">
        <v>112.62</v>
      </c>
      <c r="H366" s="5">
        <v>21646</v>
      </c>
      <c r="I366" s="5">
        <v>2278.5100000000002</v>
      </c>
      <c r="J366" s="5">
        <v>62.6</v>
      </c>
      <c r="K366" s="10">
        <f t="shared" si="10"/>
        <v>-4.47284345047924E-2</v>
      </c>
      <c r="L366" s="4">
        <v>1385.589966</v>
      </c>
      <c r="M366" s="10">
        <f t="shared" si="11"/>
        <v>1.0674181657577029E-2</v>
      </c>
      <c r="N366" s="11">
        <v>8.0846199999999993E-2</v>
      </c>
    </row>
    <row r="367" spans="1:14" x14ac:dyDescent="0.2">
      <c r="A367" s="3" t="s">
        <v>373</v>
      </c>
      <c r="B367" s="4">
        <v>2908.28</v>
      </c>
      <c r="C367" s="4">
        <v>8356.1299999999992</v>
      </c>
      <c r="D367" s="4">
        <v>2216.09</v>
      </c>
      <c r="E367" s="4">
        <v>25656.5</v>
      </c>
      <c r="F367" s="4">
        <v>123.94</v>
      </c>
      <c r="G367" s="4">
        <v>125.37</v>
      </c>
      <c r="H367" s="4">
        <v>23853.599999999999</v>
      </c>
      <c r="I367" s="4">
        <v>2178.3200000000002</v>
      </c>
      <c r="J367" s="4">
        <v>59.8</v>
      </c>
      <c r="K367" s="10">
        <f t="shared" si="10"/>
        <v>-5.6856187290969876E-2</v>
      </c>
      <c r="L367" s="4">
        <v>1400.380005</v>
      </c>
      <c r="M367" s="10">
        <f t="shared" si="11"/>
        <v>-8.5962384902803571E-2</v>
      </c>
      <c r="N367" s="11">
        <v>3.01003E-2</v>
      </c>
    </row>
    <row r="368" spans="1:14" x14ac:dyDescent="0.2">
      <c r="A368" s="3" t="s">
        <v>374</v>
      </c>
      <c r="B368" s="5">
        <v>2967.87</v>
      </c>
      <c r="C368" s="5">
        <v>8292</v>
      </c>
      <c r="D368" s="5">
        <v>1860.51</v>
      </c>
      <c r="E368" s="5">
        <v>22562.6</v>
      </c>
      <c r="F368" s="5">
        <v>133.05000000000001</v>
      </c>
      <c r="G368" s="5">
        <v>133.93</v>
      </c>
      <c r="H368" s="5">
        <v>22133.4</v>
      </c>
      <c r="I368" s="5">
        <v>1906.17</v>
      </c>
      <c r="J368" s="5">
        <v>56.4</v>
      </c>
      <c r="K368" s="10">
        <f t="shared" si="10"/>
        <v>8.5106382978723485E-2</v>
      </c>
      <c r="L368" s="4">
        <v>1280</v>
      </c>
      <c r="M368" s="10">
        <f t="shared" si="11"/>
        <v>-9.8593710937500134E-3</v>
      </c>
      <c r="N368" s="11">
        <v>2.6248899999999999E-2</v>
      </c>
    </row>
    <row r="369" spans="1:14" x14ac:dyDescent="0.2">
      <c r="A369" s="3" t="s">
        <v>375</v>
      </c>
      <c r="B369" s="4">
        <v>3067.46</v>
      </c>
      <c r="C369" s="4">
        <v>8407.02</v>
      </c>
      <c r="D369" s="4">
        <v>1960.04</v>
      </c>
      <c r="E369" s="4">
        <v>20107</v>
      </c>
      <c r="F369" s="4">
        <v>133.9</v>
      </c>
      <c r="G369" s="4">
        <v>133.38</v>
      </c>
      <c r="H369" s="4">
        <v>22955.599999999999</v>
      </c>
      <c r="I369" s="4">
        <v>1856.45</v>
      </c>
      <c r="J369" s="4">
        <v>61.2</v>
      </c>
      <c r="K369" s="10">
        <f t="shared" si="10"/>
        <v>2.9411764705882304E-2</v>
      </c>
      <c r="L369" s="4">
        <v>1267.380005</v>
      </c>
      <c r="M369" s="10">
        <f t="shared" si="11"/>
        <v>1.2190464532379975E-2</v>
      </c>
      <c r="N369" s="11">
        <v>6.8899999999999994E-5</v>
      </c>
    </row>
    <row r="370" spans="1:14" x14ac:dyDescent="0.2">
      <c r="A370" s="3" t="s">
        <v>376</v>
      </c>
      <c r="B370" s="5">
        <v>2762.56</v>
      </c>
      <c r="C370" s="5">
        <v>7633.8</v>
      </c>
      <c r="D370" s="5">
        <v>1902.85</v>
      </c>
      <c r="E370" s="5">
        <v>19111.8</v>
      </c>
      <c r="F370" s="5">
        <v>113.85</v>
      </c>
      <c r="G370" s="5">
        <v>116.64</v>
      </c>
      <c r="H370" s="5">
        <v>19935</v>
      </c>
      <c r="I370" s="5">
        <v>1734.65</v>
      </c>
      <c r="J370" s="5">
        <v>63</v>
      </c>
      <c r="K370" s="10">
        <f t="shared" si="10"/>
        <v>0.11587301587301582</v>
      </c>
      <c r="L370" s="4">
        <v>1282.829956</v>
      </c>
      <c r="M370" s="10">
        <f t="shared" si="11"/>
        <v>-9.0791433779084579E-2</v>
      </c>
      <c r="N370" s="11">
        <v>2.58677E-2</v>
      </c>
    </row>
    <row r="371" spans="1:14" x14ac:dyDescent="0.2">
      <c r="A371" s="3" t="s">
        <v>377</v>
      </c>
      <c r="B371" s="4">
        <v>2524.15</v>
      </c>
      <c r="C371" s="4">
        <v>6975.11</v>
      </c>
      <c r="D371" s="4">
        <v>1872.31</v>
      </c>
      <c r="E371" s="4">
        <v>17781.900000000001</v>
      </c>
      <c r="F371" s="4">
        <v>99.06</v>
      </c>
      <c r="G371" s="4">
        <v>103.94</v>
      </c>
      <c r="H371" s="4">
        <v>18306.599999999999</v>
      </c>
      <c r="I371" s="4">
        <v>1744.52</v>
      </c>
      <c r="J371" s="4">
        <v>70.3</v>
      </c>
      <c r="K371" s="10">
        <f t="shared" si="10"/>
        <v>-0.18065433854907534</v>
      </c>
      <c r="L371" s="4">
        <v>1166.3599850000001</v>
      </c>
      <c r="M371" s="10">
        <f t="shared" si="11"/>
        <v>-0.16942452376741993</v>
      </c>
      <c r="N371" s="11">
        <v>-0.23097000000000001</v>
      </c>
    </row>
    <row r="372" spans="1:14" x14ac:dyDescent="0.2">
      <c r="A372" s="3" t="s">
        <v>378</v>
      </c>
      <c r="B372" s="5">
        <v>2122.0300000000002</v>
      </c>
      <c r="C372" s="5">
        <v>4894.8900000000003</v>
      </c>
      <c r="D372" s="5">
        <v>1494.26</v>
      </c>
      <c r="E372" s="5">
        <v>12144.9</v>
      </c>
      <c r="F372" s="5">
        <v>72.84</v>
      </c>
      <c r="G372" s="5">
        <v>76.61</v>
      </c>
      <c r="H372" s="5">
        <v>14423.3</v>
      </c>
      <c r="I372" s="5">
        <v>1303</v>
      </c>
      <c r="J372" s="5">
        <v>57.6</v>
      </c>
      <c r="K372" s="10">
        <f t="shared" si="10"/>
        <v>-3.9930555555555629E-2</v>
      </c>
      <c r="L372" s="4">
        <v>968.75</v>
      </c>
      <c r="M372" s="10">
        <f t="shared" si="11"/>
        <v>-7.484904258064512E-2</v>
      </c>
      <c r="N372" s="11">
        <v>-0.20889859999999999</v>
      </c>
    </row>
    <row r="373" spans="1:14" x14ac:dyDescent="0.2">
      <c r="A373" s="3" t="s">
        <v>379</v>
      </c>
      <c r="B373" s="4">
        <v>1857.13</v>
      </c>
      <c r="C373" s="4">
        <v>3729.19</v>
      </c>
      <c r="D373" s="4">
        <v>1286.42</v>
      </c>
      <c r="E373" s="4">
        <v>10776.5</v>
      </c>
      <c r="F373" s="4">
        <v>53.24</v>
      </c>
      <c r="G373" s="4">
        <v>57.29</v>
      </c>
      <c r="H373" s="4">
        <v>13674.2</v>
      </c>
      <c r="I373" s="4">
        <v>1169.3599999999999</v>
      </c>
      <c r="J373" s="4">
        <v>55.3</v>
      </c>
      <c r="K373" s="10">
        <f t="shared" si="10"/>
        <v>8.6799276672694478E-2</v>
      </c>
      <c r="L373" s="4">
        <v>896.23999000000003</v>
      </c>
      <c r="M373" s="10">
        <f t="shared" si="11"/>
        <v>7.8215768970540632E-3</v>
      </c>
      <c r="N373" s="11">
        <v>-0.57000629999999997</v>
      </c>
    </row>
    <row r="374" spans="1:14" x14ac:dyDescent="0.2">
      <c r="A374" s="3" t="s">
        <v>380</v>
      </c>
      <c r="B374" s="5">
        <v>1504.42</v>
      </c>
      <c r="C374" s="5">
        <v>3105.1</v>
      </c>
      <c r="D374" s="5">
        <v>968.16</v>
      </c>
      <c r="E374" s="5">
        <v>9846.93</v>
      </c>
      <c r="F374" s="5">
        <v>41.58</v>
      </c>
      <c r="G374" s="5">
        <v>41.44</v>
      </c>
      <c r="H374" s="5">
        <v>11292.1</v>
      </c>
      <c r="I374" s="5">
        <v>1112.9000000000001</v>
      </c>
      <c r="J374" s="5">
        <v>60.1</v>
      </c>
      <c r="K374" s="10">
        <f t="shared" si="10"/>
        <v>1.8302828618968408E-2</v>
      </c>
      <c r="L374" s="4">
        <v>903.25</v>
      </c>
      <c r="M374" s="10">
        <f t="shared" si="11"/>
        <v>-8.5657342928314437E-2</v>
      </c>
      <c r="N374" s="11">
        <v>-0.47499999999999998</v>
      </c>
    </row>
    <row r="375" spans="1:14" x14ac:dyDescent="0.2">
      <c r="A375" s="3" t="s">
        <v>381</v>
      </c>
      <c r="B375" s="4">
        <v>1420.36</v>
      </c>
      <c r="C375" s="4">
        <v>3260.36</v>
      </c>
      <c r="D375" s="4">
        <v>1144.9000000000001</v>
      </c>
      <c r="E375" s="4">
        <v>11563</v>
      </c>
      <c r="F375" s="4">
        <v>44.86</v>
      </c>
      <c r="G375" s="4">
        <v>41.73</v>
      </c>
      <c r="H375" s="4">
        <v>11563.3</v>
      </c>
      <c r="I375" s="4">
        <v>1202.52</v>
      </c>
      <c r="J375" s="4">
        <v>61.2</v>
      </c>
      <c r="K375" s="10">
        <f t="shared" si="10"/>
        <v>-8.0065359477124273E-2</v>
      </c>
      <c r="L375" s="4">
        <v>825.88000499999998</v>
      </c>
      <c r="M375" s="10">
        <f t="shared" si="11"/>
        <v>-0.10993119757149226</v>
      </c>
      <c r="N375" s="11">
        <v>-0.46791159999999998</v>
      </c>
    </row>
    <row r="376" spans="1:14" x14ac:dyDescent="0.2">
      <c r="A376" s="3" t="s">
        <v>382</v>
      </c>
      <c r="B376" s="5">
        <v>1338.06</v>
      </c>
      <c r="C376" s="5">
        <v>3328.41</v>
      </c>
      <c r="D376" s="5">
        <v>1099.6300000000001</v>
      </c>
      <c r="E376" s="5">
        <v>10410.700000000001</v>
      </c>
      <c r="F376" s="5">
        <v>43.24</v>
      </c>
      <c r="G376" s="5">
        <v>39.15</v>
      </c>
      <c r="H376" s="5">
        <v>11074.8</v>
      </c>
      <c r="I376" s="5">
        <v>1118</v>
      </c>
      <c r="J376" s="5">
        <v>56.3</v>
      </c>
      <c r="K376" s="10">
        <f t="shared" si="10"/>
        <v>1.7761989342806397E-2</v>
      </c>
      <c r="L376" s="4">
        <v>735.09002699999996</v>
      </c>
      <c r="M376" s="10">
        <f t="shared" si="11"/>
        <v>8.5404461622494654E-2</v>
      </c>
      <c r="N376" s="11">
        <v>-0.66207099999999997</v>
      </c>
    </row>
    <row r="377" spans="1:14" x14ac:dyDescent="0.2">
      <c r="A377" s="3" t="s">
        <v>383</v>
      </c>
      <c r="B377" s="4">
        <v>1338.08</v>
      </c>
      <c r="C377" s="4">
        <v>3770.88</v>
      </c>
      <c r="D377" s="4">
        <v>1246.52</v>
      </c>
      <c r="E377" s="4">
        <v>9710.73</v>
      </c>
      <c r="F377" s="4">
        <v>46.83</v>
      </c>
      <c r="G377" s="4">
        <v>47.97</v>
      </c>
      <c r="H377" s="4">
        <v>10689.4</v>
      </c>
      <c r="I377" s="4">
        <v>1223.22</v>
      </c>
      <c r="J377" s="4">
        <v>57.3</v>
      </c>
      <c r="K377" s="10">
        <f t="shared" si="10"/>
        <v>0.13612565445026173</v>
      </c>
      <c r="L377" s="4">
        <v>797.86999500000002</v>
      </c>
      <c r="M377" s="10">
        <f t="shared" si="11"/>
        <v>9.3925079862164682E-2</v>
      </c>
      <c r="N377" s="11">
        <v>-0.66266480000000005</v>
      </c>
    </row>
    <row r="378" spans="1:14" x14ac:dyDescent="0.2">
      <c r="A378" s="3" t="s">
        <v>384</v>
      </c>
      <c r="B378" s="5">
        <v>1431.81</v>
      </c>
      <c r="C378" s="5">
        <v>4436.93</v>
      </c>
      <c r="D378" s="5">
        <v>1393.91</v>
      </c>
      <c r="E378" s="5">
        <v>11331.6</v>
      </c>
      <c r="F378" s="5">
        <v>50.84</v>
      </c>
      <c r="G378" s="5">
        <v>49.8</v>
      </c>
      <c r="H378" s="5">
        <v>11830.2</v>
      </c>
      <c r="I378" s="5">
        <v>1388.14</v>
      </c>
      <c r="J378" s="5">
        <v>65.099999999999994</v>
      </c>
      <c r="K378" s="10">
        <f t="shared" si="10"/>
        <v>5.5299539170507048E-2</v>
      </c>
      <c r="L378" s="4">
        <v>872.80999799999995</v>
      </c>
      <c r="M378" s="10">
        <f t="shared" si="11"/>
        <v>5.3081446255385356E-2</v>
      </c>
      <c r="N378" s="11">
        <v>-0.8171271</v>
      </c>
    </row>
    <row r="379" spans="1:14" x14ac:dyDescent="0.2">
      <c r="A379" s="3" t="s">
        <v>385</v>
      </c>
      <c r="B379" s="4">
        <v>1464.42</v>
      </c>
      <c r="C379" s="4">
        <v>4594.8999999999996</v>
      </c>
      <c r="D379" s="4">
        <v>1449.67</v>
      </c>
      <c r="E379" s="4">
        <v>12763.4</v>
      </c>
      <c r="F379" s="4">
        <v>57.93</v>
      </c>
      <c r="G379" s="4">
        <v>59.12</v>
      </c>
      <c r="H379" s="4">
        <v>13871.8</v>
      </c>
      <c r="I379" s="4">
        <v>1491.89</v>
      </c>
      <c r="J379" s="4">
        <v>68.7</v>
      </c>
      <c r="K379" s="10">
        <f t="shared" si="10"/>
        <v>3.0567685589519566E-2</v>
      </c>
      <c r="L379" s="4">
        <v>919.14001499999995</v>
      </c>
      <c r="M379" s="10">
        <f t="shared" si="11"/>
        <v>1.958265303029853E-4</v>
      </c>
      <c r="N379" s="11">
        <v>-0.72736900000000004</v>
      </c>
    </row>
    <row r="380" spans="1:14" x14ac:dyDescent="0.2">
      <c r="A380" s="3" t="s">
        <v>386</v>
      </c>
      <c r="B380" s="5">
        <v>1586.34</v>
      </c>
      <c r="C380" s="5">
        <v>5013.3</v>
      </c>
      <c r="D380" s="5">
        <v>1668.19</v>
      </c>
      <c r="E380" s="5">
        <v>14962</v>
      </c>
      <c r="F380" s="5">
        <v>68.59</v>
      </c>
      <c r="G380" s="5">
        <v>69.58</v>
      </c>
      <c r="H380" s="5">
        <v>15009.1</v>
      </c>
      <c r="I380" s="5">
        <v>1555.46</v>
      </c>
      <c r="J380" s="5">
        <v>70.8</v>
      </c>
      <c r="K380" s="10">
        <f t="shared" si="10"/>
        <v>-6.7796610169491484E-2</v>
      </c>
      <c r="L380" s="4">
        <v>919.32000700000003</v>
      </c>
      <c r="M380" s="10">
        <f t="shared" si="11"/>
        <v>7.4141727016716522E-2</v>
      </c>
      <c r="N380" s="11">
        <v>-0.72408729999999999</v>
      </c>
    </row>
    <row r="381" spans="1:14" x14ac:dyDescent="0.2">
      <c r="A381" s="3" t="s">
        <v>387</v>
      </c>
      <c r="B381" s="4">
        <v>1674.33</v>
      </c>
      <c r="C381" s="4">
        <v>5240.83</v>
      </c>
      <c r="D381" s="4">
        <v>1674.51</v>
      </c>
      <c r="E381" s="4">
        <v>16024.5</v>
      </c>
      <c r="F381" s="4">
        <v>64.91</v>
      </c>
      <c r="G381" s="4">
        <v>64.13</v>
      </c>
      <c r="H381" s="4">
        <v>13903.6</v>
      </c>
      <c r="I381" s="4">
        <v>1582.85</v>
      </c>
      <c r="J381" s="4">
        <v>66</v>
      </c>
      <c r="K381" s="10">
        <f t="shared" si="10"/>
        <v>-4.5454545454545027E-3</v>
      </c>
      <c r="L381" s="4">
        <v>987.47997999999995</v>
      </c>
      <c r="M381" s="10">
        <f t="shared" si="11"/>
        <v>3.3560189240494843E-2</v>
      </c>
      <c r="N381" s="11">
        <v>-0.53229210000000005</v>
      </c>
    </row>
    <row r="382" spans="1:14" x14ac:dyDescent="0.2">
      <c r="A382" s="3" t="s">
        <v>388</v>
      </c>
      <c r="B382" s="5">
        <v>1927.64</v>
      </c>
      <c r="C382" s="5">
        <v>6176.87</v>
      </c>
      <c r="D382" s="5">
        <v>1893.04</v>
      </c>
      <c r="E382" s="5">
        <v>19375.900000000001</v>
      </c>
      <c r="F382" s="5">
        <v>72.5</v>
      </c>
      <c r="G382" s="5">
        <v>71.06</v>
      </c>
      <c r="H382" s="5">
        <v>14761.6</v>
      </c>
      <c r="I382" s="5">
        <v>1818.01</v>
      </c>
      <c r="J382" s="5">
        <v>65.7</v>
      </c>
      <c r="K382" s="10">
        <f t="shared" si="10"/>
        <v>0.11872146118721456</v>
      </c>
      <c r="L382" s="4">
        <v>1020.619995</v>
      </c>
      <c r="M382" s="10">
        <f t="shared" si="11"/>
        <v>3.5723345788458732E-2</v>
      </c>
      <c r="N382" s="11">
        <v>-0.57644329999999999</v>
      </c>
    </row>
    <row r="383" spans="1:14" x14ac:dyDescent="0.2">
      <c r="A383" s="3" t="s">
        <v>389</v>
      </c>
      <c r="B383" s="4">
        <v>1835.6</v>
      </c>
      <c r="C383" s="4">
        <v>6195.75</v>
      </c>
      <c r="D383" s="4">
        <v>2205.48</v>
      </c>
      <c r="E383" s="4">
        <v>17404.599999999999</v>
      </c>
      <c r="F383" s="4">
        <v>67.680000000000007</v>
      </c>
      <c r="G383" s="4">
        <v>69.44</v>
      </c>
      <c r="H383" s="4">
        <v>14936.2</v>
      </c>
      <c r="I383" s="4">
        <v>1879.15</v>
      </c>
      <c r="J383" s="4">
        <v>73.5</v>
      </c>
      <c r="K383" s="10">
        <f t="shared" si="10"/>
        <v>-3.945578231292525E-2</v>
      </c>
      <c r="L383" s="4">
        <v>1057.079956</v>
      </c>
      <c r="M383" s="10">
        <f t="shared" si="11"/>
        <v>-1.976200086041547E-2</v>
      </c>
      <c r="N383" s="11">
        <v>-0.64303589999999999</v>
      </c>
    </row>
    <row r="384" spans="1:14" x14ac:dyDescent="0.2">
      <c r="A384" s="3" t="s">
        <v>390</v>
      </c>
      <c r="B384" s="5">
        <v>1875.66</v>
      </c>
      <c r="C384" s="5">
        <v>6305.99</v>
      </c>
      <c r="D384" s="5">
        <v>2227.69</v>
      </c>
      <c r="E384" s="5">
        <v>18489.5</v>
      </c>
      <c r="F384" s="5">
        <v>73.19</v>
      </c>
      <c r="G384" s="5">
        <v>75.77</v>
      </c>
      <c r="H384" s="5">
        <v>15037.4</v>
      </c>
      <c r="I384" s="5">
        <v>2070.84</v>
      </c>
      <c r="J384" s="5">
        <v>70.599999999999994</v>
      </c>
      <c r="K384" s="10">
        <f t="shared" si="10"/>
        <v>-4.5325779036827038E-2</v>
      </c>
      <c r="L384" s="4">
        <v>1036.1899410000001</v>
      </c>
      <c r="M384" s="10">
        <f t="shared" si="11"/>
        <v>5.7364061981373636E-2</v>
      </c>
      <c r="N384" s="11">
        <v>-0.80903290000000005</v>
      </c>
    </row>
    <row r="385" spans="1:14" x14ac:dyDescent="0.2">
      <c r="A385" s="3" t="s">
        <v>391</v>
      </c>
      <c r="B385" s="4">
        <v>1956.55</v>
      </c>
      <c r="C385" s="4">
        <v>6682.44</v>
      </c>
      <c r="D385" s="4">
        <v>2303.44</v>
      </c>
      <c r="E385" s="4">
        <v>16911.3</v>
      </c>
      <c r="F385" s="4">
        <v>77.03</v>
      </c>
      <c r="G385" s="4">
        <v>77.989999999999995</v>
      </c>
      <c r="H385" s="4">
        <v>14966.1</v>
      </c>
      <c r="I385" s="4">
        <v>2196.5500000000002</v>
      </c>
      <c r="J385" s="4">
        <v>67.400000000000006</v>
      </c>
      <c r="K385" s="10">
        <f t="shared" si="10"/>
        <v>7.5667655786350055E-2</v>
      </c>
      <c r="L385" s="4">
        <v>1095.630005</v>
      </c>
      <c r="M385" s="10">
        <f t="shared" si="11"/>
        <v>1.7770571188400402E-2</v>
      </c>
      <c r="N385" s="11">
        <v>-0.89767960000000002</v>
      </c>
    </row>
    <row r="386" spans="1:14" x14ac:dyDescent="0.2">
      <c r="A386" s="3" t="s">
        <v>392</v>
      </c>
      <c r="B386" s="5">
        <v>2181.2600000000002</v>
      </c>
      <c r="C386" s="5">
        <v>6976.98</v>
      </c>
      <c r="D386" s="5">
        <v>2326.2600000000002</v>
      </c>
      <c r="E386" s="5">
        <v>17121.599999999999</v>
      </c>
      <c r="F386" s="5">
        <v>74.66</v>
      </c>
      <c r="G386" s="5">
        <v>74.48</v>
      </c>
      <c r="H386" s="5">
        <v>15588.7</v>
      </c>
      <c r="I386" s="5">
        <v>2374.04</v>
      </c>
      <c r="J386" s="5">
        <v>72.5</v>
      </c>
      <c r="K386" s="10">
        <f t="shared" si="10"/>
        <v>2.6206896551724215E-2</v>
      </c>
      <c r="L386" s="4">
        <v>1115.099976</v>
      </c>
      <c r="M386" s="10">
        <f t="shared" si="11"/>
        <v>-3.6974246154947411E-2</v>
      </c>
      <c r="N386" s="11">
        <v>-0.83890629999999999</v>
      </c>
    </row>
    <row r="387" spans="1:14" x14ac:dyDescent="0.2">
      <c r="A387" s="3" t="s">
        <v>393</v>
      </c>
      <c r="B387" s="4">
        <v>2230.15</v>
      </c>
      <c r="C387" s="4">
        <v>7367.4</v>
      </c>
      <c r="D387" s="4">
        <v>2352.1799999999998</v>
      </c>
      <c r="E387" s="4">
        <v>18405.599999999999</v>
      </c>
      <c r="F387" s="4">
        <v>76.37</v>
      </c>
      <c r="G387" s="4">
        <v>78.33</v>
      </c>
      <c r="H387" s="4">
        <v>17710.2</v>
      </c>
      <c r="I387" s="4">
        <v>2414.69</v>
      </c>
      <c r="J387" s="4">
        <v>74.400000000000006</v>
      </c>
      <c r="K387" s="10">
        <f t="shared" si="10"/>
        <v>-1.0752688172043163E-2</v>
      </c>
      <c r="L387" s="4">
        <v>1073.869995</v>
      </c>
      <c r="M387" s="10">
        <f t="shared" si="11"/>
        <v>2.8513688940531405E-2</v>
      </c>
      <c r="N387" s="11">
        <v>-0.81735650000000004</v>
      </c>
    </row>
    <row r="388" spans="1:14" x14ac:dyDescent="0.2">
      <c r="A388" s="3" t="s">
        <v>394</v>
      </c>
      <c r="B388" s="5">
        <v>2053.29</v>
      </c>
      <c r="C388" s="5">
        <v>6867.69</v>
      </c>
      <c r="D388" s="5">
        <v>2125.8000000000002</v>
      </c>
      <c r="E388" s="5">
        <v>19060.5</v>
      </c>
      <c r="F388" s="5">
        <v>74.31</v>
      </c>
      <c r="G388" s="5">
        <v>76.290000000000006</v>
      </c>
      <c r="H388" s="5">
        <v>16352.3</v>
      </c>
      <c r="I388" s="5">
        <v>2158.8200000000002</v>
      </c>
      <c r="J388" s="5">
        <v>73.599999999999994</v>
      </c>
      <c r="K388" s="10">
        <f t="shared" ref="K388:K451" si="12" xml:space="preserve"> (J389-J388)/J388</f>
        <v>0</v>
      </c>
      <c r="L388" s="4">
        <v>1104.48999</v>
      </c>
      <c r="M388" s="10">
        <f t="shared" ref="M388:M451" si="13" xml:space="preserve"> (L389-L388)/L388</f>
        <v>5.879642603189178E-2</v>
      </c>
      <c r="N388" s="11">
        <v>-0.74343139999999996</v>
      </c>
    </row>
    <row r="389" spans="1:14" x14ac:dyDescent="0.2">
      <c r="A389" s="3" t="s">
        <v>395</v>
      </c>
      <c r="B389" s="4">
        <v>2210.5500000000002</v>
      </c>
      <c r="C389" s="4">
        <v>7466.96</v>
      </c>
      <c r="D389" s="4">
        <v>2162.71</v>
      </c>
      <c r="E389" s="4">
        <v>22467.200000000001</v>
      </c>
      <c r="F389" s="4">
        <v>79.27</v>
      </c>
      <c r="G389" s="4">
        <v>81.25</v>
      </c>
      <c r="H389" s="4">
        <v>17509.099999999999</v>
      </c>
      <c r="I389" s="4">
        <v>2277.29</v>
      </c>
      <c r="J389" s="4">
        <v>73.599999999999994</v>
      </c>
      <c r="K389" s="10">
        <f t="shared" si="12"/>
        <v>-1.9021739130434669E-2</v>
      </c>
      <c r="L389" s="4">
        <v>1169.4300539999999</v>
      </c>
      <c r="M389" s="10">
        <f t="shared" si="13"/>
        <v>1.4759229883791036E-2</v>
      </c>
      <c r="N389" s="11">
        <v>-0.75541959999999997</v>
      </c>
    </row>
    <row r="390" spans="1:14" x14ac:dyDescent="0.2">
      <c r="A390" s="3" t="s">
        <v>396</v>
      </c>
      <c r="B390" s="5">
        <v>2314.31</v>
      </c>
      <c r="C390" s="5">
        <v>7729.85</v>
      </c>
      <c r="D390" s="5">
        <v>2272.1799999999998</v>
      </c>
      <c r="E390" s="5">
        <v>26028.5</v>
      </c>
      <c r="F390" s="5">
        <v>84.92</v>
      </c>
      <c r="G390" s="5">
        <v>84.49</v>
      </c>
      <c r="H390" s="5">
        <v>18634.599999999999</v>
      </c>
      <c r="I390" s="5">
        <v>2367.5300000000002</v>
      </c>
      <c r="J390" s="5">
        <v>72.2</v>
      </c>
      <c r="K390" s="10">
        <f t="shared" si="12"/>
        <v>1.9390581717451404E-2</v>
      </c>
      <c r="L390" s="4">
        <v>1186.6899410000001</v>
      </c>
      <c r="M390" s="10">
        <f t="shared" si="13"/>
        <v>-8.1975841910334427E-2</v>
      </c>
      <c r="N390" s="11">
        <v>-0.54429499999999997</v>
      </c>
    </row>
    <row r="391" spans="1:14" x14ac:dyDescent="0.2">
      <c r="A391" s="3" t="s">
        <v>397</v>
      </c>
      <c r="B391" s="4">
        <v>2044.73</v>
      </c>
      <c r="C391" s="4">
        <v>6843.18</v>
      </c>
      <c r="D391" s="4">
        <v>1876.82</v>
      </c>
      <c r="E391" s="4">
        <v>21930</v>
      </c>
      <c r="F391" s="4">
        <v>76.25</v>
      </c>
      <c r="G391" s="4">
        <v>73.739999999999995</v>
      </c>
      <c r="H391" s="4">
        <v>17565</v>
      </c>
      <c r="I391" s="4">
        <v>1969.82</v>
      </c>
      <c r="J391" s="4">
        <v>73.599999999999994</v>
      </c>
      <c r="K391" s="10">
        <f t="shared" si="12"/>
        <v>3.2608695652173995E-2</v>
      </c>
      <c r="L391" s="4">
        <v>1089.410034</v>
      </c>
      <c r="M391" s="10">
        <f t="shared" si="13"/>
        <v>-5.3882442026415164E-2</v>
      </c>
      <c r="N391" s="11">
        <v>-0.52545319999999995</v>
      </c>
    </row>
    <row r="392" spans="1:14" x14ac:dyDescent="0.2">
      <c r="A392" s="3" t="s">
        <v>398</v>
      </c>
      <c r="B392" s="5">
        <v>1929.41</v>
      </c>
      <c r="C392" s="5">
        <v>6501.5</v>
      </c>
      <c r="D392" s="5">
        <v>1707.28</v>
      </c>
      <c r="E392" s="5">
        <v>19411.3</v>
      </c>
      <c r="F392" s="5">
        <v>74.83</v>
      </c>
      <c r="G392" s="5">
        <v>75.349999999999994</v>
      </c>
      <c r="H392" s="5">
        <v>17257.7</v>
      </c>
      <c r="I392" s="5">
        <v>1746.51</v>
      </c>
      <c r="J392" s="5">
        <v>76</v>
      </c>
      <c r="K392" s="10">
        <f t="shared" si="12"/>
        <v>-0.10789473684210531</v>
      </c>
      <c r="L392" s="4">
        <v>1030.709961</v>
      </c>
      <c r="M392" s="10">
        <f t="shared" si="13"/>
        <v>6.8777849911552322E-2</v>
      </c>
      <c r="N392" s="11">
        <v>-0.28954639999999998</v>
      </c>
    </row>
    <row r="393" spans="1:14" x14ac:dyDescent="0.2">
      <c r="A393" s="3" t="s">
        <v>399</v>
      </c>
      <c r="B393" s="4">
        <v>1989.05</v>
      </c>
      <c r="C393" s="4">
        <v>6750.57</v>
      </c>
      <c r="D393" s="4">
        <v>1843.97</v>
      </c>
      <c r="E393" s="4">
        <v>19548.5</v>
      </c>
      <c r="F393" s="4">
        <v>74.73</v>
      </c>
      <c r="G393" s="4">
        <v>76.150000000000006</v>
      </c>
      <c r="H393" s="4">
        <v>18206.5</v>
      </c>
      <c r="I393" s="4">
        <v>1847.03</v>
      </c>
      <c r="J393" s="4">
        <v>67.8</v>
      </c>
      <c r="K393" s="10">
        <f t="shared" si="12"/>
        <v>1.62241887905606E-2</v>
      </c>
      <c r="L393" s="4">
        <v>1101.599976</v>
      </c>
      <c r="M393" s="10">
        <f t="shared" si="13"/>
        <v>-4.7449184040287175E-2</v>
      </c>
      <c r="N393" s="11">
        <v>-0.30342659999999999</v>
      </c>
    </row>
    <row r="394" spans="1:14" x14ac:dyDescent="0.2">
      <c r="A394" s="3" t="s">
        <v>400</v>
      </c>
      <c r="B394" s="5">
        <v>2110.44</v>
      </c>
      <c r="C394" s="5">
        <v>7302.67</v>
      </c>
      <c r="D394" s="5">
        <v>2082.8000000000002</v>
      </c>
      <c r="E394" s="5">
        <v>21448.799999999999</v>
      </c>
      <c r="F394" s="5">
        <v>76.69</v>
      </c>
      <c r="G394" s="5">
        <v>76.599999999999994</v>
      </c>
      <c r="H394" s="5">
        <v>20733.099999999999</v>
      </c>
      <c r="I394" s="5">
        <v>2047.48</v>
      </c>
      <c r="J394" s="5">
        <v>68.900000000000006</v>
      </c>
      <c r="K394" s="10">
        <f t="shared" si="12"/>
        <v>-1.0159651669085671E-2</v>
      </c>
      <c r="L394" s="4">
        <v>1049.329956</v>
      </c>
      <c r="M394" s="10">
        <f t="shared" si="13"/>
        <v>8.7551102944020034E-2</v>
      </c>
      <c r="N394" s="11">
        <v>-0.22040170000000001</v>
      </c>
    </row>
    <row r="395" spans="1:14" x14ac:dyDescent="0.2">
      <c r="A395" s="3" t="s">
        <v>401</v>
      </c>
      <c r="B395" s="4">
        <v>2171.2399999999998</v>
      </c>
      <c r="C395" s="4">
        <v>7729.59</v>
      </c>
      <c r="D395" s="4">
        <v>2192.85</v>
      </c>
      <c r="E395" s="4">
        <v>22690.1</v>
      </c>
      <c r="F395" s="4">
        <v>77.78</v>
      </c>
      <c r="G395" s="4">
        <v>75.260000000000005</v>
      </c>
      <c r="H395" s="4">
        <v>22694.400000000001</v>
      </c>
      <c r="I395" s="4">
        <v>2150.94</v>
      </c>
      <c r="J395" s="4">
        <v>68.2</v>
      </c>
      <c r="K395" s="10">
        <f t="shared" si="12"/>
        <v>-7.3313782991202342E-3</v>
      </c>
      <c r="L395" s="4">
        <v>1141.1999510000001</v>
      </c>
      <c r="M395" s="10">
        <f t="shared" si="13"/>
        <v>3.6855994397076437E-2</v>
      </c>
      <c r="N395" s="11">
        <v>-0.21269579999999999</v>
      </c>
    </row>
    <row r="396" spans="1:14" x14ac:dyDescent="0.2">
      <c r="A396" s="3" t="s">
        <v>402</v>
      </c>
      <c r="B396" s="5">
        <v>2342.1799999999998</v>
      </c>
      <c r="C396" s="5">
        <v>8289.76</v>
      </c>
      <c r="D396" s="5">
        <v>2383.5500000000002</v>
      </c>
      <c r="E396" s="5">
        <v>23793.7</v>
      </c>
      <c r="F396" s="5">
        <v>82.91</v>
      </c>
      <c r="G396" s="5">
        <v>81.89</v>
      </c>
      <c r="H396" s="5">
        <v>26237.1</v>
      </c>
      <c r="I396" s="5">
        <v>2373.56</v>
      </c>
      <c r="J396" s="5">
        <v>67.7</v>
      </c>
      <c r="K396" s="10">
        <f t="shared" si="12"/>
        <v>5.7607090103397214E-2</v>
      </c>
      <c r="L396" s="4">
        <v>1183.26001</v>
      </c>
      <c r="M396" s="10">
        <f t="shared" si="13"/>
        <v>-2.2902497989431936E-3</v>
      </c>
      <c r="N396" s="11">
        <v>-0.33600950000000002</v>
      </c>
    </row>
    <row r="397" spans="1:14" x14ac:dyDescent="0.2">
      <c r="A397" s="3" t="s">
        <v>403</v>
      </c>
      <c r="B397" s="4">
        <v>2324.0500000000002</v>
      </c>
      <c r="C397" s="4">
        <v>8458.42</v>
      </c>
      <c r="D397" s="4">
        <v>2364.98</v>
      </c>
      <c r="E397" s="4">
        <v>22836.2</v>
      </c>
      <c r="F397" s="4">
        <v>85.67</v>
      </c>
      <c r="G397" s="4">
        <v>84.19</v>
      </c>
      <c r="H397" s="4">
        <v>25403.1</v>
      </c>
      <c r="I397" s="4">
        <v>2283.3000000000002</v>
      </c>
      <c r="J397" s="4">
        <v>71.599999999999994</v>
      </c>
      <c r="K397" s="10">
        <f t="shared" si="12"/>
        <v>4.0502793296089468E-2</v>
      </c>
      <c r="L397" s="4">
        <v>1180.5500489999999</v>
      </c>
      <c r="M397" s="10">
        <f t="shared" si="13"/>
        <v>6.5300040489854744E-2</v>
      </c>
      <c r="N397" s="11">
        <v>-0.38263750000000002</v>
      </c>
    </row>
    <row r="398" spans="1:14" x14ac:dyDescent="0.2">
      <c r="A398" s="3" t="s">
        <v>404</v>
      </c>
      <c r="B398" s="5">
        <v>2356.67</v>
      </c>
      <c r="C398" s="5">
        <v>9152.86</v>
      </c>
      <c r="D398" s="5">
        <v>2413.1999999999998</v>
      </c>
      <c r="E398" s="5">
        <v>24099.599999999999</v>
      </c>
      <c r="F398" s="5">
        <v>91.79</v>
      </c>
      <c r="G398" s="5">
        <v>89.22</v>
      </c>
      <c r="H398" s="5">
        <v>26103.9</v>
      </c>
      <c r="I398" s="5">
        <v>2287.3200000000002</v>
      </c>
      <c r="J398" s="5">
        <v>74.5</v>
      </c>
      <c r="K398" s="10">
        <f t="shared" si="12"/>
        <v>-4.0268456375838549E-3</v>
      </c>
      <c r="L398" s="4">
        <v>1257.6400149999999</v>
      </c>
      <c r="M398" s="10">
        <f t="shared" si="13"/>
        <v>2.2645573980086878E-2</v>
      </c>
      <c r="N398" s="11">
        <v>-0.3700254</v>
      </c>
    </row>
    <row r="399" spans="1:14" x14ac:dyDescent="0.2">
      <c r="A399" s="3" t="s">
        <v>405</v>
      </c>
      <c r="B399" s="4">
        <v>2439.6999999999998</v>
      </c>
      <c r="C399" s="4">
        <v>9533.2000000000007</v>
      </c>
      <c r="D399" s="4">
        <v>2583.9699999999998</v>
      </c>
      <c r="E399" s="4">
        <v>25621.200000000001</v>
      </c>
      <c r="F399" s="4">
        <v>96.29</v>
      </c>
      <c r="G399" s="4">
        <v>89.51</v>
      </c>
      <c r="H399" s="4">
        <v>27439.4</v>
      </c>
      <c r="I399" s="4">
        <v>2375.81</v>
      </c>
      <c r="J399" s="4">
        <v>74.2</v>
      </c>
      <c r="K399" s="10">
        <f t="shared" si="12"/>
        <v>4.4474393530997268E-2</v>
      </c>
      <c r="L399" s="4">
        <v>1286.119995</v>
      </c>
      <c r="M399" s="10">
        <f t="shared" si="13"/>
        <v>3.1956564052952129E-2</v>
      </c>
      <c r="N399" s="11">
        <v>-0.35782320000000001</v>
      </c>
    </row>
    <row r="400" spans="1:14" x14ac:dyDescent="0.2">
      <c r="A400" s="3" t="s">
        <v>406</v>
      </c>
      <c r="B400" s="5">
        <v>2515.2600000000002</v>
      </c>
      <c r="C400" s="5">
        <v>9880.94</v>
      </c>
      <c r="D400" s="5">
        <v>2595.5700000000002</v>
      </c>
      <c r="E400" s="5">
        <v>28412.2</v>
      </c>
      <c r="F400" s="5">
        <v>103.95</v>
      </c>
      <c r="G400" s="5">
        <v>89.36</v>
      </c>
      <c r="H400" s="5">
        <v>31619.7</v>
      </c>
      <c r="I400" s="5">
        <v>2473.4499999999998</v>
      </c>
      <c r="J400" s="5">
        <v>77.5</v>
      </c>
      <c r="K400" s="10">
        <f t="shared" si="12"/>
        <v>-0.12903225806451613</v>
      </c>
      <c r="L400" s="4">
        <v>1327.219971</v>
      </c>
      <c r="M400" s="10">
        <f t="shared" si="13"/>
        <v>-1.0473132038185315E-3</v>
      </c>
      <c r="N400" s="11">
        <v>-0.3024307</v>
      </c>
    </row>
    <row r="401" spans="1:14" x14ac:dyDescent="0.2">
      <c r="A401" s="3" t="s">
        <v>407</v>
      </c>
      <c r="B401" s="4">
        <v>2555.5</v>
      </c>
      <c r="C401" s="4">
        <v>9503.36</v>
      </c>
      <c r="D401" s="4">
        <v>2624.02</v>
      </c>
      <c r="E401" s="4">
        <v>26710.3</v>
      </c>
      <c r="F401" s="4">
        <v>114.44</v>
      </c>
      <c r="G401" s="4">
        <v>102.91</v>
      </c>
      <c r="H401" s="4">
        <v>30590.9</v>
      </c>
      <c r="I401" s="4">
        <v>2341.48</v>
      </c>
      <c r="J401" s="4">
        <v>67.5</v>
      </c>
      <c r="K401" s="10">
        <f t="shared" si="12"/>
        <v>3.4074074074074034E-2</v>
      </c>
      <c r="L401" s="4">
        <v>1325.829956</v>
      </c>
      <c r="M401" s="10">
        <f t="shared" si="13"/>
        <v>2.8495380443795019E-2</v>
      </c>
      <c r="N401" s="11">
        <v>-0.25307079999999998</v>
      </c>
    </row>
    <row r="402" spans="1:14" x14ac:dyDescent="0.2">
      <c r="A402" s="3" t="s">
        <v>408</v>
      </c>
      <c r="B402" s="5">
        <v>2667.42</v>
      </c>
      <c r="C402" s="5">
        <v>9482.75</v>
      </c>
      <c r="D402" s="5">
        <v>2719.35</v>
      </c>
      <c r="E402" s="5">
        <v>26332.2</v>
      </c>
      <c r="F402" s="5">
        <v>123.15</v>
      </c>
      <c r="G402" s="5">
        <v>110.04</v>
      </c>
      <c r="H402" s="5">
        <v>32347.7</v>
      </c>
      <c r="I402" s="5">
        <v>2371.48</v>
      </c>
      <c r="J402" s="5">
        <v>69.8</v>
      </c>
      <c r="K402" s="10">
        <f t="shared" si="12"/>
        <v>6.4469914040114609E-2</v>
      </c>
      <c r="L402" s="4">
        <v>1363.6099850000001</v>
      </c>
      <c r="M402" s="10">
        <f t="shared" si="13"/>
        <v>-1.3500952766930637E-2</v>
      </c>
      <c r="N402" s="11">
        <v>-0.25267200000000001</v>
      </c>
    </row>
    <row r="403" spans="1:14" x14ac:dyDescent="0.2">
      <c r="A403" s="3" t="s">
        <v>409</v>
      </c>
      <c r="B403" s="4">
        <v>2587.21</v>
      </c>
      <c r="C403" s="4">
        <v>8931.67</v>
      </c>
      <c r="D403" s="4">
        <v>2419.64</v>
      </c>
      <c r="E403" s="4">
        <v>24164.6</v>
      </c>
      <c r="F403" s="4">
        <v>114.45</v>
      </c>
      <c r="G403" s="4">
        <v>101.25</v>
      </c>
      <c r="H403" s="4">
        <v>28571.4</v>
      </c>
      <c r="I403" s="4">
        <v>2159.6</v>
      </c>
      <c r="J403" s="4">
        <v>74.3</v>
      </c>
      <c r="K403" s="10">
        <f t="shared" si="12"/>
        <v>-3.7685060565275874E-2</v>
      </c>
      <c r="L403" s="4">
        <v>1345.1999510000001</v>
      </c>
      <c r="M403" s="10">
        <f t="shared" si="13"/>
        <v>-1.8257461265697078E-2</v>
      </c>
      <c r="N403" s="11">
        <v>-0.1201849</v>
      </c>
    </row>
    <row r="404" spans="1:14" x14ac:dyDescent="0.2">
      <c r="A404" s="3" t="s">
        <v>410</v>
      </c>
      <c r="B404" s="5">
        <v>2557.7600000000002</v>
      </c>
      <c r="C404" s="5">
        <v>9066.85</v>
      </c>
      <c r="D404" s="5">
        <v>2524.9899999999998</v>
      </c>
      <c r="E404" s="5">
        <v>22420.9</v>
      </c>
      <c r="F404" s="5">
        <v>113.75</v>
      </c>
      <c r="G404" s="5">
        <v>96.25</v>
      </c>
      <c r="H404" s="5">
        <v>25519.7</v>
      </c>
      <c r="I404" s="5">
        <v>2234.4699999999998</v>
      </c>
      <c r="J404" s="5">
        <v>71.5</v>
      </c>
      <c r="K404" s="10">
        <f t="shared" si="12"/>
        <v>-0.10909090909090906</v>
      </c>
      <c r="L404" s="4">
        <v>1320.6400149999999</v>
      </c>
      <c r="M404" s="10">
        <f t="shared" si="13"/>
        <v>-2.1474425791952044E-2</v>
      </c>
      <c r="N404" s="11">
        <v>-0.19572200000000001</v>
      </c>
    </row>
    <row r="405" spans="1:14" x14ac:dyDescent="0.2">
      <c r="A405" s="3" t="s">
        <v>411</v>
      </c>
      <c r="B405" s="4">
        <v>2525.4299999999998</v>
      </c>
      <c r="C405" s="4">
        <v>9650.4599999999991</v>
      </c>
      <c r="D405" s="4">
        <v>2681.02</v>
      </c>
      <c r="E405" s="4">
        <v>23848</v>
      </c>
      <c r="F405" s="4">
        <v>116.46</v>
      </c>
      <c r="G405" s="4">
        <v>97.19</v>
      </c>
      <c r="H405" s="4">
        <v>27398.1</v>
      </c>
      <c r="I405" s="4">
        <v>2397.75</v>
      </c>
      <c r="J405" s="4">
        <v>63.7</v>
      </c>
      <c r="K405" s="10">
        <f t="shared" si="12"/>
        <v>-0.12401883830455267</v>
      </c>
      <c r="L405" s="4">
        <v>1292.280029</v>
      </c>
      <c r="M405" s="10">
        <f t="shared" si="13"/>
        <v>-5.6791107463597633E-2</v>
      </c>
      <c r="N405" s="11">
        <v>-0.21423529999999999</v>
      </c>
    </row>
    <row r="406" spans="1:14" x14ac:dyDescent="0.2">
      <c r="A406" s="3" t="s">
        <v>412</v>
      </c>
      <c r="B406" s="5">
        <v>2380.9699999999998</v>
      </c>
      <c r="C406" s="5">
        <v>8997.99</v>
      </c>
      <c r="D406" s="5">
        <v>2393.06</v>
      </c>
      <c r="E406" s="5">
        <v>21864.7</v>
      </c>
      <c r="F406" s="5">
        <v>110.08</v>
      </c>
      <c r="G406" s="5">
        <v>86.32</v>
      </c>
      <c r="H406" s="5">
        <v>24056.7</v>
      </c>
      <c r="I406" s="5">
        <v>2199.2399999999998</v>
      </c>
      <c r="J406" s="5">
        <v>55.8</v>
      </c>
      <c r="K406" s="10">
        <f t="shared" si="12"/>
        <v>6.6308243727598623E-2</v>
      </c>
      <c r="L406" s="4">
        <v>1218.8900149999999</v>
      </c>
      <c r="M406" s="10">
        <f t="shared" si="13"/>
        <v>-7.1761988303760113E-2</v>
      </c>
      <c r="N406" s="11">
        <v>-0.22663150000000001</v>
      </c>
    </row>
    <row r="407" spans="1:14" x14ac:dyDescent="0.2">
      <c r="A407" s="3" t="s">
        <v>413</v>
      </c>
      <c r="B407" s="4">
        <v>2293.46</v>
      </c>
      <c r="C407" s="4">
        <v>8300.14</v>
      </c>
      <c r="D407" s="4">
        <v>2287.67</v>
      </c>
      <c r="E407" s="4">
        <v>20377.599999999999</v>
      </c>
      <c r="F407" s="4">
        <v>110.87</v>
      </c>
      <c r="G407" s="4">
        <v>85.61</v>
      </c>
      <c r="H407" s="4">
        <v>22526.6</v>
      </c>
      <c r="I407" s="4">
        <v>2075.2199999999998</v>
      </c>
      <c r="J407" s="4">
        <v>59.5</v>
      </c>
      <c r="K407" s="10">
        <f t="shared" si="12"/>
        <v>2.1848739495798273E-2</v>
      </c>
      <c r="L407" s="4">
        <v>1131.420044</v>
      </c>
      <c r="M407" s="10">
        <f t="shared" si="13"/>
        <v>0.10772303853581013</v>
      </c>
      <c r="N407" s="11">
        <v>-0.16166140000000001</v>
      </c>
    </row>
    <row r="408" spans="1:14" x14ac:dyDescent="0.2">
      <c r="A408" s="3" t="s">
        <v>414</v>
      </c>
      <c r="B408" s="5">
        <v>2180.65</v>
      </c>
      <c r="C408" s="5">
        <v>7394.19</v>
      </c>
      <c r="D408" s="5">
        <v>1960.38</v>
      </c>
      <c r="E408" s="5">
        <v>19039</v>
      </c>
      <c r="F408" s="5">
        <v>109.46</v>
      </c>
      <c r="G408" s="5">
        <v>86.4</v>
      </c>
      <c r="H408" s="5">
        <v>21868.6</v>
      </c>
      <c r="I408" s="5">
        <v>1871.42</v>
      </c>
      <c r="J408" s="5">
        <v>60.8</v>
      </c>
      <c r="K408" s="10">
        <f t="shared" si="12"/>
        <v>4.7697368421052724E-2</v>
      </c>
      <c r="L408" s="4">
        <v>1253.3000489999999</v>
      </c>
      <c r="M408" s="10">
        <f t="shared" si="13"/>
        <v>-5.0587151935872331E-3</v>
      </c>
      <c r="N408" s="11">
        <v>-0.16904530000000001</v>
      </c>
    </row>
    <row r="409" spans="1:14" x14ac:dyDescent="0.2">
      <c r="A409" s="3" t="s">
        <v>415</v>
      </c>
      <c r="B409" s="4">
        <v>2079.98</v>
      </c>
      <c r="C409" s="4">
        <v>7581.02</v>
      </c>
      <c r="D409" s="4">
        <v>1994.22</v>
      </c>
      <c r="E409" s="4">
        <v>17873</v>
      </c>
      <c r="F409" s="4">
        <v>110.5</v>
      </c>
      <c r="G409" s="4">
        <v>97.06</v>
      </c>
      <c r="H409" s="4">
        <v>21291.7</v>
      </c>
      <c r="I409" s="4">
        <v>1935.32</v>
      </c>
      <c r="J409" s="4">
        <v>63.7</v>
      </c>
      <c r="K409" s="10">
        <f t="shared" si="12"/>
        <v>9.7331240188383086E-2</v>
      </c>
      <c r="L409" s="4">
        <v>1246.959961</v>
      </c>
      <c r="M409" s="10">
        <f t="shared" si="13"/>
        <v>8.5327639481440794E-3</v>
      </c>
      <c r="N409" s="11">
        <v>-0.3047668</v>
      </c>
    </row>
    <row r="410" spans="1:14" x14ac:dyDescent="0.2">
      <c r="A410" s="3" t="s">
        <v>416</v>
      </c>
      <c r="B410" s="5">
        <v>2024.38</v>
      </c>
      <c r="C410" s="5">
        <v>7558.87</v>
      </c>
      <c r="D410" s="5">
        <v>2024.56</v>
      </c>
      <c r="E410" s="5">
        <v>18246</v>
      </c>
      <c r="F410" s="5">
        <v>107.97</v>
      </c>
      <c r="G410" s="5">
        <v>98.61</v>
      </c>
      <c r="H410" s="5">
        <v>19386.900000000001</v>
      </c>
      <c r="I410" s="5">
        <v>1911.15</v>
      </c>
      <c r="J410" s="5">
        <v>69.900000000000006</v>
      </c>
      <c r="K410" s="10">
        <f t="shared" si="12"/>
        <v>7.2961373390557846E-2</v>
      </c>
      <c r="L410" s="4">
        <v>1257.599976</v>
      </c>
      <c r="M410" s="10">
        <f t="shared" si="13"/>
        <v>4.3583062218506295E-2</v>
      </c>
      <c r="N410" s="11">
        <v>-0.33771899999999999</v>
      </c>
    </row>
    <row r="411" spans="1:14" x14ac:dyDescent="0.2">
      <c r="A411" s="3" t="s">
        <v>417</v>
      </c>
      <c r="B411" s="4">
        <v>2151.33</v>
      </c>
      <c r="C411" s="4">
        <v>8061.92</v>
      </c>
      <c r="D411" s="4">
        <v>2100.21</v>
      </c>
      <c r="E411" s="4">
        <v>19908.599999999999</v>
      </c>
      <c r="F411" s="4">
        <v>110.99</v>
      </c>
      <c r="G411" s="4">
        <v>100.14</v>
      </c>
      <c r="H411" s="4">
        <v>21547.7</v>
      </c>
      <c r="I411" s="4">
        <v>1989.23</v>
      </c>
      <c r="J411" s="4">
        <v>75</v>
      </c>
      <c r="K411" s="10">
        <f t="shared" si="12"/>
        <v>3.9999999999999619E-3</v>
      </c>
      <c r="L411" s="4">
        <v>1312.410034</v>
      </c>
      <c r="M411" s="10">
        <f t="shared" si="13"/>
        <v>4.058946413084185E-2</v>
      </c>
      <c r="N411" s="11">
        <v>-0.39498939999999999</v>
      </c>
    </row>
    <row r="412" spans="1:14" x14ac:dyDescent="0.2">
      <c r="A412" s="3" t="s">
        <v>418</v>
      </c>
      <c r="B412" s="5">
        <v>2207.92</v>
      </c>
      <c r="C412" s="5">
        <v>8441.49</v>
      </c>
      <c r="D412" s="5">
        <v>2121.2600000000002</v>
      </c>
      <c r="E412" s="5">
        <v>20393.7</v>
      </c>
      <c r="F412" s="5">
        <v>119.7</v>
      </c>
      <c r="G412" s="5">
        <v>102.26</v>
      </c>
      <c r="H412" s="5">
        <v>24293.3</v>
      </c>
      <c r="I412" s="5">
        <v>2057.79</v>
      </c>
      <c r="J412" s="5">
        <v>75.3</v>
      </c>
      <c r="K412" s="10">
        <f t="shared" si="12"/>
        <v>1.1952191235059837E-2</v>
      </c>
      <c r="L412" s="4">
        <v>1365.6800539999999</v>
      </c>
      <c r="M412" s="10">
        <f t="shared" si="13"/>
        <v>3.1332314530530633E-2</v>
      </c>
      <c r="N412" s="11">
        <v>-0.32394420000000002</v>
      </c>
    </row>
    <row r="413" spans="1:14" x14ac:dyDescent="0.2">
      <c r="A413" s="3" t="s">
        <v>419</v>
      </c>
      <c r="B413" s="4">
        <v>2184.16</v>
      </c>
      <c r="C413" s="4">
        <v>8470.7800000000007</v>
      </c>
      <c r="D413" s="4">
        <v>2056.69</v>
      </c>
      <c r="E413" s="4">
        <v>18660.8</v>
      </c>
      <c r="F413" s="4">
        <v>124.92</v>
      </c>
      <c r="G413" s="4">
        <v>106.15</v>
      </c>
      <c r="H413" s="4">
        <v>22985.4</v>
      </c>
      <c r="I413" s="4">
        <v>2035.92</v>
      </c>
      <c r="J413" s="4">
        <v>76.2</v>
      </c>
      <c r="K413" s="10">
        <f t="shared" si="12"/>
        <v>2.6246719160105359E-3</v>
      </c>
      <c r="L413" s="4">
        <v>1408.469971</v>
      </c>
      <c r="M413" s="10">
        <f t="shared" si="13"/>
        <v>-7.4974527092704279E-3</v>
      </c>
      <c r="N413" s="11">
        <v>-0.32838479999999998</v>
      </c>
    </row>
    <row r="414" spans="1:14" x14ac:dyDescent="0.2">
      <c r="A414" s="3" t="s">
        <v>420</v>
      </c>
      <c r="B414" s="5">
        <v>2048.5100000000002</v>
      </c>
      <c r="C414" s="5">
        <v>8285.5300000000007</v>
      </c>
      <c r="D414" s="5">
        <v>2073.64</v>
      </c>
      <c r="E414" s="5">
        <v>17892.8</v>
      </c>
      <c r="F414" s="5">
        <v>120.59</v>
      </c>
      <c r="G414" s="5">
        <v>103.28</v>
      </c>
      <c r="H414" s="5">
        <v>22114.5</v>
      </c>
      <c r="I414" s="5">
        <v>2002.68</v>
      </c>
      <c r="J414" s="5">
        <v>76.400000000000006</v>
      </c>
      <c r="K414" s="10">
        <f t="shared" si="12"/>
        <v>3.7958115183245961E-2</v>
      </c>
      <c r="L414" s="4">
        <v>1397.910034</v>
      </c>
      <c r="M414" s="10">
        <f t="shared" si="13"/>
        <v>-6.2650725633177598E-2</v>
      </c>
      <c r="N414" s="11">
        <v>-0.32363360000000002</v>
      </c>
    </row>
    <row r="415" spans="1:14" x14ac:dyDescent="0.2">
      <c r="A415" s="3" t="s">
        <v>421</v>
      </c>
      <c r="B415" s="4">
        <v>2002.52</v>
      </c>
      <c r="C415" s="4">
        <v>7896.91</v>
      </c>
      <c r="D415" s="4">
        <v>1999.25</v>
      </c>
      <c r="E415" s="4">
        <v>16968.3</v>
      </c>
      <c r="F415" s="4">
        <v>110.52</v>
      </c>
      <c r="G415" s="4">
        <v>94.5</v>
      </c>
      <c r="H415" s="4">
        <v>20295.3</v>
      </c>
      <c r="I415" s="4">
        <v>1928.01</v>
      </c>
      <c r="J415" s="4">
        <v>79.3</v>
      </c>
      <c r="K415" s="10">
        <f t="shared" si="12"/>
        <v>-7.6923076923076858E-2</v>
      </c>
      <c r="L415" s="4">
        <v>1310.329956</v>
      </c>
      <c r="M415" s="10">
        <f t="shared" si="13"/>
        <v>3.9554982134591417E-2</v>
      </c>
      <c r="N415" s="11">
        <v>-0.30715219999999999</v>
      </c>
    </row>
    <row r="416" spans="1:14" x14ac:dyDescent="0.2">
      <c r="A416" s="3" t="s">
        <v>422</v>
      </c>
      <c r="B416" s="5">
        <v>1885.51</v>
      </c>
      <c r="C416" s="5">
        <v>7428.29</v>
      </c>
      <c r="D416" s="5">
        <v>1850.96</v>
      </c>
      <c r="E416" s="5">
        <v>16603.7</v>
      </c>
      <c r="F416" s="5">
        <v>95.58</v>
      </c>
      <c r="G416" s="5">
        <v>82.35</v>
      </c>
      <c r="H416" s="5">
        <v>19255.400000000001</v>
      </c>
      <c r="I416" s="5">
        <v>1855.93</v>
      </c>
      <c r="J416" s="5">
        <v>73.2</v>
      </c>
      <c r="K416" s="10">
        <f t="shared" si="12"/>
        <v>-1.2295081967213193E-2</v>
      </c>
      <c r="L416" s="4">
        <v>1362.160034</v>
      </c>
      <c r="M416" s="10">
        <f t="shared" si="13"/>
        <v>1.2597574126154459E-2</v>
      </c>
      <c r="N416" s="11">
        <v>-0.4348844</v>
      </c>
    </row>
    <row r="417" spans="1:14" x14ac:dyDescent="0.2">
      <c r="A417" s="3" t="s">
        <v>423</v>
      </c>
      <c r="B417" s="4">
        <v>1876.25</v>
      </c>
      <c r="C417" s="4">
        <v>7584.26</v>
      </c>
      <c r="D417" s="4">
        <v>1881.48</v>
      </c>
      <c r="E417" s="4">
        <v>16128.4</v>
      </c>
      <c r="F417" s="4">
        <v>103.14</v>
      </c>
      <c r="G417" s="4">
        <v>87.89</v>
      </c>
      <c r="H417" s="4">
        <v>18546.099999999999</v>
      </c>
      <c r="I417" s="4">
        <v>1847.75</v>
      </c>
      <c r="J417" s="4">
        <v>72.3</v>
      </c>
      <c r="K417" s="10">
        <f t="shared" si="12"/>
        <v>2.7662517289073308E-2</v>
      </c>
      <c r="L417" s="4">
        <v>1379.3199460000001</v>
      </c>
      <c r="M417" s="10">
        <f t="shared" si="13"/>
        <v>1.9763369680148135E-2</v>
      </c>
      <c r="N417" s="11">
        <v>-0.30512630000000002</v>
      </c>
    </row>
    <row r="418" spans="1:14" x14ac:dyDescent="0.2">
      <c r="A418" s="3" t="s">
        <v>424</v>
      </c>
      <c r="B418" s="5">
        <v>1843.33</v>
      </c>
      <c r="C418" s="5">
        <v>7510.43</v>
      </c>
      <c r="D418" s="5">
        <v>1897.77</v>
      </c>
      <c r="E418" s="5">
        <v>15704</v>
      </c>
      <c r="F418" s="5">
        <v>113.34</v>
      </c>
      <c r="G418" s="5">
        <v>94.11</v>
      </c>
      <c r="H418" s="5">
        <v>18675.599999999999</v>
      </c>
      <c r="I418" s="5">
        <v>1816.32</v>
      </c>
      <c r="J418" s="5">
        <v>74.3</v>
      </c>
      <c r="K418" s="10">
        <f t="shared" si="12"/>
        <v>5.3835800807537013E-2</v>
      </c>
      <c r="L418" s="4">
        <v>1406.579956</v>
      </c>
      <c r="M418" s="10">
        <f t="shared" si="13"/>
        <v>2.4236153696477046E-2</v>
      </c>
      <c r="N418" s="11">
        <v>-0.31449349999999998</v>
      </c>
    </row>
    <row r="419" spans="1:14" x14ac:dyDescent="0.2">
      <c r="A419" s="3" t="s">
        <v>425</v>
      </c>
      <c r="B419" s="4">
        <v>2064.12</v>
      </c>
      <c r="C419" s="4">
        <v>8087.74</v>
      </c>
      <c r="D419" s="4">
        <v>2177.6799999999998</v>
      </c>
      <c r="E419" s="4">
        <v>17288</v>
      </c>
      <c r="F419" s="4">
        <v>113.38</v>
      </c>
      <c r="G419" s="4">
        <v>94.6</v>
      </c>
      <c r="H419" s="4">
        <v>20771.3</v>
      </c>
      <c r="I419" s="4">
        <v>2009.85</v>
      </c>
      <c r="J419" s="4">
        <v>78.3</v>
      </c>
      <c r="K419" s="10">
        <f t="shared" si="12"/>
        <v>5.4916985951468676E-2</v>
      </c>
      <c r="L419" s="4">
        <v>1440.670044</v>
      </c>
      <c r="M419" s="10">
        <f t="shared" si="13"/>
        <v>-1.9789409878227443E-2</v>
      </c>
      <c r="N419" s="11">
        <v>-0.30969190000000002</v>
      </c>
    </row>
    <row r="420" spans="1:14" x14ac:dyDescent="0.2">
      <c r="A420" s="3" t="s">
        <v>426</v>
      </c>
      <c r="B420" s="5">
        <v>1974.3</v>
      </c>
      <c r="C420" s="5">
        <v>8062.03</v>
      </c>
      <c r="D420" s="5">
        <v>2141.9699999999998</v>
      </c>
      <c r="E420" s="5">
        <v>17168.7</v>
      </c>
      <c r="F420" s="5">
        <v>111.97</v>
      </c>
      <c r="G420" s="5">
        <v>89.51</v>
      </c>
      <c r="H420" s="5">
        <v>21233.7</v>
      </c>
      <c r="I420" s="5">
        <v>1903.96</v>
      </c>
      <c r="J420" s="5">
        <v>82.6</v>
      </c>
      <c r="K420" s="10">
        <f t="shared" si="12"/>
        <v>1.2106537530267377E-3</v>
      </c>
      <c r="L420" s="4">
        <v>1412.160034</v>
      </c>
      <c r="M420" s="10">
        <f t="shared" si="13"/>
        <v>2.8467170173433272E-3</v>
      </c>
      <c r="N420" s="11">
        <v>-0.2445118</v>
      </c>
    </row>
    <row r="421" spans="1:14" x14ac:dyDescent="0.2">
      <c r="A421" s="3" t="s">
        <v>427</v>
      </c>
      <c r="B421" s="4">
        <v>1948.83</v>
      </c>
      <c r="C421" s="4">
        <v>7711.23</v>
      </c>
      <c r="D421" s="4">
        <v>2181.9699999999998</v>
      </c>
      <c r="E421" s="4">
        <v>16335.4</v>
      </c>
      <c r="F421" s="4">
        <v>109.71</v>
      </c>
      <c r="G421" s="4">
        <v>86.68</v>
      </c>
      <c r="H421" s="4">
        <v>20713.099999999999</v>
      </c>
      <c r="I421" s="4">
        <v>1912.4</v>
      </c>
      <c r="J421" s="4">
        <v>82.7</v>
      </c>
      <c r="K421" s="10">
        <f t="shared" si="12"/>
        <v>-0.11850060459492136</v>
      </c>
      <c r="L421" s="4">
        <v>1416.1800539999999</v>
      </c>
      <c r="M421" s="10">
        <f t="shared" si="13"/>
        <v>7.0682304638645639E-3</v>
      </c>
      <c r="N421" s="11">
        <v>-0.3714153</v>
      </c>
    </row>
    <row r="422" spans="1:14" x14ac:dyDescent="0.2">
      <c r="A422" s="3" t="s">
        <v>428</v>
      </c>
      <c r="B422" s="5">
        <v>2086.7600000000002</v>
      </c>
      <c r="C422" s="5">
        <v>7966.49</v>
      </c>
      <c r="D422" s="5">
        <v>2279.8000000000002</v>
      </c>
      <c r="E422" s="5">
        <v>17448.5</v>
      </c>
      <c r="F422" s="5">
        <v>109.64</v>
      </c>
      <c r="G422" s="5">
        <v>88.19</v>
      </c>
      <c r="H422" s="5">
        <v>22880.9</v>
      </c>
      <c r="I422" s="5">
        <v>2040.43</v>
      </c>
      <c r="J422" s="5">
        <v>72.900000000000006</v>
      </c>
      <c r="K422" s="10">
        <f t="shared" si="12"/>
        <v>1.234567901234556E-2</v>
      </c>
      <c r="L422" s="4">
        <v>1426.1899410000001</v>
      </c>
      <c r="M422" s="10">
        <f t="shared" si="13"/>
        <v>5.0428096519578497E-2</v>
      </c>
      <c r="N422" s="11">
        <v>-0.4294365</v>
      </c>
    </row>
    <row r="423" spans="1:14" x14ac:dyDescent="0.2">
      <c r="A423" s="3" t="s">
        <v>429</v>
      </c>
      <c r="B423" s="4">
        <v>2037.61</v>
      </c>
      <c r="C423" s="4">
        <v>8053.74</v>
      </c>
      <c r="D423" s="4">
        <v>2334.4699999999998</v>
      </c>
      <c r="E423" s="4">
        <v>17494.099999999999</v>
      </c>
      <c r="F423" s="4">
        <v>112.92</v>
      </c>
      <c r="G423" s="4">
        <v>94.65</v>
      </c>
      <c r="H423" s="4">
        <v>24598.9</v>
      </c>
      <c r="I423" s="4">
        <v>2031.41</v>
      </c>
      <c r="J423" s="4">
        <v>73.8</v>
      </c>
      <c r="K423" s="10">
        <f t="shared" si="12"/>
        <v>5.1490514905149012E-2</v>
      </c>
      <c r="L423" s="4">
        <v>1498.1099850000001</v>
      </c>
      <c r="M423" s="10">
        <f t="shared" si="13"/>
        <v>1.1060649195259101E-2</v>
      </c>
      <c r="N423" s="11">
        <v>-0.32043139999999998</v>
      </c>
    </row>
    <row r="424" spans="1:14" x14ac:dyDescent="0.2">
      <c r="A424" s="3" t="s">
        <v>430</v>
      </c>
      <c r="B424" s="5">
        <v>2053.59</v>
      </c>
      <c r="C424" s="5">
        <v>8060.93</v>
      </c>
      <c r="D424" s="5">
        <v>2365.79</v>
      </c>
      <c r="E424" s="5">
        <v>17690.099999999999</v>
      </c>
      <c r="F424" s="5">
        <v>116.45</v>
      </c>
      <c r="G424" s="5">
        <v>95.29</v>
      </c>
      <c r="H424" s="5">
        <v>24211.7</v>
      </c>
      <c r="I424" s="5">
        <v>2128.69</v>
      </c>
      <c r="J424" s="5">
        <v>77.599999999999994</v>
      </c>
      <c r="K424" s="10">
        <f t="shared" si="12"/>
        <v>1.2886597938144331E-2</v>
      </c>
      <c r="L424" s="4">
        <v>1514.6800539999999</v>
      </c>
      <c r="M424" s="10">
        <f t="shared" si="13"/>
        <v>3.5987723516956123E-2</v>
      </c>
      <c r="N424" s="11">
        <v>-0.19467480000000001</v>
      </c>
    </row>
    <row r="425" spans="1:14" x14ac:dyDescent="0.2">
      <c r="A425" s="3" t="s">
        <v>431</v>
      </c>
      <c r="B425" s="4">
        <v>1911.28</v>
      </c>
      <c r="C425" s="4">
        <v>7652.38</v>
      </c>
      <c r="D425" s="4">
        <v>2173.35</v>
      </c>
      <c r="E425" s="4">
        <v>16731.7</v>
      </c>
      <c r="F425" s="4">
        <v>109.24</v>
      </c>
      <c r="G425" s="4">
        <v>93.11</v>
      </c>
      <c r="H425" s="4">
        <v>23302</v>
      </c>
      <c r="I425" s="4">
        <v>1929.15</v>
      </c>
      <c r="J425" s="4">
        <v>78.599999999999994</v>
      </c>
      <c r="K425" s="10">
        <f t="shared" si="12"/>
        <v>-2.7989821882951512E-2</v>
      </c>
      <c r="L425" s="4">
        <v>1569.1899410000001</v>
      </c>
      <c r="M425" s="10">
        <f t="shared" si="13"/>
        <v>1.8085767859252408E-2</v>
      </c>
      <c r="N425" s="11">
        <v>-0.1292594</v>
      </c>
    </row>
    <row r="426" spans="1:14" x14ac:dyDescent="0.2">
      <c r="A426" s="3" t="s">
        <v>432</v>
      </c>
      <c r="B426" s="5">
        <v>1861.02</v>
      </c>
      <c r="C426" s="5">
        <v>7221.16</v>
      </c>
      <c r="D426" s="5">
        <v>2024.37</v>
      </c>
      <c r="E426" s="5">
        <v>15629.3</v>
      </c>
      <c r="F426" s="5">
        <v>102.87</v>
      </c>
      <c r="G426" s="5">
        <v>92.01</v>
      </c>
      <c r="H426" s="5">
        <v>21589.599999999999</v>
      </c>
      <c r="I426" s="5">
        <v>1855.6</v>
      </c>
      <c r="J426" s="5">
        <v>76.400000000000006</v>
      </c>
      <c r="K426" s="10">
        <f t="shared" si="12"/>
        <v>0.10602094240837688</v>
      </c>
      <c r="L426" s="4">
        <v>1597.5699460000001</v>
      </c>
      <c r="M426" s="10">
        <f t="shared" si="13"/>
        <v>2.0762811721046208E-2</v>
      </c>
      <c r="N426" s="11">
        <v>-0.22718289999999999</v>
      </c>
    </row>
    <row r="427" spans="1:14" x14ac:dyDescent="0.2">
      <c r="A427" s="3" t="s">
        <v>433</v>
      </c>
      <c r="B427" s="4">
        <v>1832.57</v>
      </c>
      <c r="C427" s="4">
        <v>7248.71</v>
      </c>
      <c r="D427" s="4">
        <v>2031.89</v>
      </c>
      <c r="E427" s="4">
        <v>14948.2</v>
      </c>
      <c r="F427" s="4">
        <v>103.02</v>
      </c>
      <c r="G427" s="4">
        <v>94.71</v>
      </c>
      <c r="H427" s="4">
        <v>20781.599999999999</v>
      </c>
      <c r="I427" s="4">
        <v>1831.01</v>
      </c>
      <c r="J427" s="4">
        <v>84.5</v>
      </c>
      <c r="K427" s="10">
        <f t="shared" si="12"/>
        <v>-4.7337278106509544E-3</v>
      </c>
      <c r="L427" s="4">
        <v>1630.73999</v>
      </c>
      <c r="M427" s="10">
        <f t="shared" si="13"/>
        <v>-1.4999301636062792E-2</v>
      </c>
      <c r="N427" s="11">
        <v>-0.17606340000000001</v>
      </c>
    </row>
    <row r="428" spans="1:14" x14ac:dyDescent="0.2">
      <c r="A428" s="3" t="s">
        <v>434</v>
      </c>
      <c r="B428" s="5">
        <v>1814.54</v>
      </c>
      <c r="C428" s="5">
        <v>7000.24</v>
      </c>
      <c r="D428" s="5">
        <v>2099.69</v>
      </c>
      <c r="E428" s="5">
        <v>14280.3</v>
      </c>
      <c r="F428" s="5">
        <v>103.11</v>
      </c>
      <c r="G428" s="5">
        <v>95.78</v>
      </c>
      <c r="H428" s="5">
        <v>20267.400000000001</v>
      </c>
      <c r="I428" s="5">
        <v>1839.01</v>
      </c>
      <c r="J428" s="5">
        <v>84.1</v>
      </c>
      <c r="K428" s="10">
        <f t="shared" si="12"/>
        <v>1.1890606420927468E-2</v>
      </c>
      <c r="L428" s="4">
        <v>1606.280029</v>
      </c>
      <c r="M428" s="10">
        <f t="shared" si="13"/>
        <v>4.9462079815225081E-2</v>
      </c>
      <c r="N428" s="11">
        <v>-0.1191478</v>
      </c>
    </row>
    <row r="429" spans="1:14" x14ac:dyDescent="0.2">
      <c r="A429" s="3" t="s">
        <v>435</v>
      </c>
      <c r="B429" s="4">
        <v>1769.61</v>
      </c>
      <c r="C429" s="4">
        <v>6906.64</v>
      </c>
      <c r="D429" s="4">
        <v>2047.73</v>
      </c>
      <c r="E429" s="4">
        <v>13750.3</v>
      </c>
      <c r="F429" s="4">
        <v>107.71</v>
      </c>
      <c r="G429" s="4">
        <v>104.54</v>
      </c>
      <c r="H429" s="4">
        <v>19563.8</v>
      </c>
      <c r="I429" s="4">
        <v>1837.62</v>
      </c>
      <c r="J429" s="4">
        <v>85.1</v>
      </c>
      <c r="K429" s="10">
        <f t="shared" si="12"/>
        <v>-3.5252643948296122E-2</v>
      </c>
      <c r="L429" s="4">
        <v>1685.7299800000001</v>
      </c>
      <c r="M429" s="10">
        <f t="shared" si="13"/>
        <v>-3.1298019033866906E-2</v>
      </c>
      <c r="N429" s="11">
        <v>-0.2019253</v>
      </c>
    </row>
    <row r="430" spans="1:14" x14ac:dyDescent="0.2">
      <c r="A430" s="3" t="s">
        <v>436</v>
      </c>
      <c r="B430" s="5">
        <v>1816.24</v>
      </c>
      <c r="C430" s="5">
        <v>7186.25</v>
      </c>
      <c r="D430" s="5">
        <v>2173.08</v>
      </c>
      <c r="E430" s="5">
        <v>14308.3</v>
      </c>
      <c r="F430" s="5">
        <v>110.96</v>
      </c>
      <c r="G430" s="5">
        <v>106.54</v>
      </c>
      <c r="H430" s="5">
        <v>21638.2</v>
      </c>
      <c r="I430" s="5">
        <v>1896.39</v>
      </c>
      <c r="J430" s="5">
        <v>82.1</v>
      </c>
      <c r="K430" s="10">
        <f t="shared" si="12"/>
        <v>-5.6029232643118085E-2</v>
      </c>
      <c r="L430" s="4">
        <v>1632.969971</v>
      </c>
      <c r="M430" s="10">
        <f t="shared" si="13"/>
        <v>2.9749523177239098E-2</v>
      </c>
      <c r="N430" s="11">
        <v>-0.1171997</v>
      </c>
    </row>
    <row r="431" spans="1:14" x14ac:dyDescent="0.2">
      <c r="A431" s="3" t="s">
        <v>437</v>
      </c>
      <c r="B431" s="4">
        <v>1761.3</v>
      </c>
      <c r="C431" s="4">
        <v>7159.27</v>
      </c>
      <c r="D431" s="4">
        <v>2084.92</v>
      </c>
      <c r="E431" s="4">
        <v>13801.4</v>
      </c>
      <c r="F431" s="4">
        <v>111.62</v>
      </c>
      <c r="G431" s="4">
        <v>106.31</v>
      </c>
      <c r="H431" s="4">
        <v>22735.1</v>
      </c>
      <c r="I431" s="4">
        <v>1846.88</v>
      </c>
      <c r="J431" s="4">
        <v>77.5</v>
      </c>
      <c r="K431" s="10">
        <f t="shared" si="12"/>
        <v>-5.5483870967741898E-2</v>
      </c>
      <c r="L431" s="4">
        <v>1681.5500489999999</v>
      </c>
      <c r="M431" s="10">
        <f t="shared" si="13"/>
        <v>4.45957526180061E-2</v>
      </c>
      <c r="N431" s="11">
        <v>-8.94234E-2</v>
      </c>
    </row>
    <row r="432" spans="1:14" x14ac:dyDescent="0.2">
      <c r="A432" s="3" t="s">
        <v>438</v>
      </c>
      <c r="B432" s="5">
        <v>1814.58</v>
      </c>
      <c r="C432" s="5">
        <v>7203.02</v>
      </c>
      <c r="D432" s="5">
        <v>2115.4299999999998</v>
      </c>
      <c r="E432" s="5">
        <v>14117.7</v>
      </c>
      <c r="F432" s="5">
        <v>109.47</v>
      </c>
      <c r="G432" s="5">
        <v>100.5</v>
      </c>
      <c r="H432" s="5">
        <v>23101.599999999999</v>
      </c>
      <c r="I432" s="5">
        <v>1884.84</v>
      </c>
      <c r="J432" s="5">
        <v>73.2</v>
      </c>
      <c r="K432" s="10">
        <f t="shared" si="12"/>
        <v>2.5956284153005348E-2</v>
      </c>
      <c r="L432" s="4">
        <v>1756.540039</v>
      </c>
      <c r="M432" s="10">
        <f t="shared" si="13"/>
        <v>2.8049471635186524E-2</v>
      </c>
      <c r="N432" s="11">
        <v>-0.13977239999999999</v>
      </c>
    </row>
    <row r="433" spans="1:18" x14ac:dyDescent="0.2">
      <c r="A433" s="3" t="s">
        <v>439</v>
      </c>
      <c r="B433" s="4">
        <v>1747.96</v>
      </c>
      <c r="C433" s="4">
        <v>7070.65</v>
      </c>
      <c r="D433" s="4">
        <v>2089.56</v>
      </c>
      <c r="E433" s="4">
        <v>13684</v>
      </c>
      <c r="F433" s="4">
        <v>108.07</v>
      </c>
      <c r="G433" s="4">
        <v>93.81</v>
      </c>
      <c r="H433" s="4">
        <v>22826.9</v>
      </c>
      <c r="I433" s="4">
        <v>1866.42</v>
      </c>
      <c r="J433" s="4">
        <v>75.099999999999994</v>
      </c>
      <c r="K433" s="10">
        <f t="shared" si="12"/>
        <v>9.8535286284953477E-2</v>
      </c>
      <c r="L433" s="4">
        <v>1805.8100589999999</v>
      </c>
      <c r="M433" s="10">
        <f t="shared" si="13"/>
        <v>2.3562791550492821E-2</v>
      </c>
      <c r="N433" s="11">
        <v>-0.18840090000000001</v>
      </c>
    </row>
    <row r="434" spans="1:18" x14ac:dyDescent="0.2">
      <c r="A434" s="3" t="s">
        <v>440</v>
      </c>
      <c r="B434" s="5">
        <v>1739.81</v>
      </c>
      <c r="C434" s="5">
        <v>7214.9</v>
      </c>
      <c r="D434" s="5">
        <v>2136.73</v>
      </c>
      <c r="E434" s="5">
        <v>13924.6</v>
      </c>
      <c r="F434" s="5">
        <v>110.63</v>
      </c>
      <c r="G434" s="5">
        <v>97.9</v>
      </c>
      <c r="H434" s="5">
        <v>22762.1</v>
      </c>
      <c r="I434" s="5">
        <v>1974.97</v>
      </c>
      <c r="J434" s="5">
        <v>82.5</v>
      </c>
      <c r="K434" s="10">
        <f t="shared" si="12"/>
        <v>-1.5757575757575724E-2</v>
      </c>
      <c r="L434" s="4">
        <v>1848.3599850000001</v>
      </c>
      <c r="M434" s="10">
        <f t="shared" si="13"/>
        <v>-3.5582905675162646E-2</v>
      </c>
      <c r="N434" s="11">
        <v>-8.1868999999999997E-2</v>
      </c>
    </row>
    <row r="435" spans="1:18" x14ac:dyDescent="0.2">
      <c r="A435" s="3" t="s">
        <v>441</v>
      </c>
      <c r="B435" s="4">
        <v>1727.41</v>
      </c>
      <c r="C435" s="4">
        <v>7291.47</v>
      </c>
      <c r="D435" s="4">
        <v>2143.17</v>
      </c>
      <c r="E435" s="4">
        <v>14101.3</v>
      </c>
      <c r="F435" s="4">
        <v>107.57</v>
      </c>
      <c r="G435" s="4">
        <v>94.99</v>
      </c>
      <c r="H435" s="4">
        <v>22063.9</v>
      </c>
      <c r="I435" s="4">
        <v>2036.93</v>
      </c>
      <c r="J435" s="4">
        <v>81.2</v>
      </c>
      <c r="K435" s="10">
        <f t="shared" si="12"/>
        <v>4.9261083743841316E-3</v>
      </c>
      <c r="L435" s="4">
        <v>1782.589966</v>
      </c>
      <c r="M435" s="10">
        <f t="shared" si="13"/>
        <v>4.3117029976595334E-2</v>
      </c>
      <c r="N435" s="11">
        <v>-0.27255580000000001</v>
      </c>
    </row>
    <row r="436" spans="1:18" x14ac:dyDescent="0.2">
      <c r="A436" s="3" t="s">
        <v>442</v>
      </c>
      <c r="B436" s="5">
        <v>1695.17</v>
      </c>
      <c r="C436" s="5">
        <v>7149.21</v>
      </c>
      <c r="D436" s="5">
        <v>2108.0300000000002</v>
      </c>
      <c r="E436" s="5">
        <v>14203.6</v>
      </c>
      <c r="F436" s="5">
        <v>108.81</v>
      </c>
      <c r="G436" s="5">
        <v>100.7</v>
      </c>
      <c r="H436" s="5">
        <v>22820.7</v>
      </c>
      <c r="I436" s="5">
        <v>2034.52</v>
      </c>
      <c r="J436" s="5">
        <v>81.599999999999994</v>
      </c>
      <c r="K436" s="10">
        <f t="shared" si="12"/>
        <v>-1.9607843137254832E-2</v>
      </c>
      <c r="L436" s="4">
        <v>1859.4499510000001</v>
      </c>
      <c r="M436" s="10">
        <f t="shared" si="13"/>
        <v>6.9321656079357136E-3</v>
      </c>
      <c r="N436" s="11">
        <v>-0.23760300000000001</v>
      </c>
    </row>
    <row r="437" spans="1:18" x14ac:dyDescent="0.2">
      <c r="A437" s="3" t="s">
        <v>443</v>
      </c>
      <c r="B437" s="4">
        <v>1705.37</v>
      </c>
      <c r="C437" s="4">
        <v>6650.04</v>
      </c>
      <c r="D437" s="4">
        <v>2053.08</v>
      </c>
      <c r="E437" s="4">
        <v>15678.1</v>
      </c>
      <c r="F437" s="4">
        <v>107.4</v>
      </c>
      <c r="G437" s="4">
        <v>100.57</v>
      </c>
      <c r="H437" s="4">
        <v>23024.3</v>
      </c>
      <c r="I437" s="4">
        <v>2007.9</v>
      </c>
      <c r="J437" s="4">
        <v>80</v>
      </c>
      <c r="K437" s="10">
        <f t="shared" si="12"/>
        <v>5.1249999999999928E-2</v>
      </c>
      <c r="L437" s="4">
        <v>1872.339966</v>
      </c>
      <c r="M437" s="10">
        <f t="shared" si="13"/>
        <v>6.2007889650527552E-3</v>
      </c>
      <c r="N437" s="11">
        <v>-0.234177</v>
      </c>
    </row>
    <row r="438" spans="1:18" x14ac:dyDescent="0.2">
      <c r="A438" s="3" t="s">
        <v>444</v>
      </c>
      <c r="B438" s="5">
        <v>1810.68</v>
      </c>
      <c r="C438" s="5">
        <v>6673.56</v>
      </c>
      <c r="D438" s="5">
        <v>2087.09</v>
      </c>
      <c r="E438" s="5">
        <v>17373.599999999999</v>
      </c>
      <c r="F438" s="5">
        <v>107.87</v>
      </c>
      <c r="G438" s="5">
        <v>102.17</v>
      </c>
      <c r="H438" s="5">
        <v>23405.200000000001</v>
      </c>
      <c r="I438" s="5">
        <v>2027.21</v>
      </c>
      <c r="J438" s="5">
        <v>84.1</v>
      </c>
      <c r="K438" s="10">
        <f t="shared" si="12"/>
        <v>-2.6159334126040296E-2</v>
      </c>
      <c r="L438" s="4">
        <v>1883.9499510000001</v>
      </c>
      <c r="M438" s="10">
        <f t="shared" si="13"/>
        <v>2.103028001299596E-2</v>
      </c>
      <c r="N438" s="11">
        <v>-0.2482636</v>
      </c>
    </row>
    <row r="439" spans="1:18" x14ac:dyDescent="0.2">
      <c r="A439" s="3" t="s">
        <v>445</v>
      </c>
      <c r="B439" s="4">
        <v>1751.05</v>
      </c>
      <c r="C439" s="4">
        <v>6891.12</v>
      </c>
      <c r="D439" s="4">
        <v>2097.3200000000002</v>
      </c>
      <c r="E439" s="4">
        <v>19401.099999999999</v>
      </c>
      <c r="F439" s="4">
        <v>109.67</v>
      </c>
      <c r="G439" s="4">
        <v>102</v>
      </c>
      <c r="H439" s="4">
        <v>23271.3</v>
      </c>
      <c r="I439" s="4">
        <v>2058.9699999999998</v>
      </c>
      <c r="J439" s="4">
        <v>81.900000000000006</v>
      </c>
      <c r="K439" s="10">
        <f t="shared" si="12"/>
        <v>7.3260073260072557E-3</v>
      </c>
      <c r="L439" s="4">
        <v>1923.5699460000001</v>
      </c>
      <c r="M439" s="10">
        <f t="shared" si="13"/>
        <v>1.9058331658920603E-2</v>
      </c>
      <c r="N439" s="11">
        <v>-0.19740869999999999</v>
      </c>
    </row>
    <row r="440" spans="1:18" x14ac:dyDescent="0.2">
      <c r="A440" s="3" t="s">
        <v>446</v>
      </c>
      <c r="B440" s="5">
        <v>1838.95</v>
      </c>
      <c r="C440" s="5">
        <v>6821.14</v>
      </c>
      <c r="D440" s="5">
        <v>2106.94</v>
      </c>
      <c r="E440" s="5">
        <v>18628.8</v>
      </c>
      <c r="F440" s="5">
        <v>111.86</v>
      </c>
      <c r="G440" s="5">
        <v>105.24</v>
      </c>
      <c r="H440" s="5">
        <v>22762</v>
      </c>
      <c r="I440" s="5">
        <v>2128.1</v>
      </c>
      <c r="J440" s="5">
        <v>82.5</v>
      </c>
      <c r="K440" s="10">
        <f t="shared" si="12"/>
        <v>-8.4848484848485187E-3</v>
      </c>
      <c r="L440" s="4">
        <v>1960.2299800000001</v>
      </c>
      <c r="M440" s="10">
        <f t="shared" si="13"/>
        <v>-1.5079830581919834E-2</v>
      </c>
      <c r="N440" s="11">
        <v>-0.15775839999999999</v>
      </c>
    </row>
    <row r="441" spans="1:18" x14ac:dyDescent="0.2">
      <c r="A441" s="3" t="s">
        <v>447</v>
      </c>
      <c r="B441" s="4">
        <v>1948.3</v>
      </c>
      <c r="C441" s="4">
        <v>7113.38</v>
      </c>
      <c r="D441" s="4">
        <v>2193.2399999999998</v>
      </c>
      <c r="E441" s="4">
        <v>19117.7</v>
      </c>
      <c r="F441" s="4">
        <v>106.98</v>
      </c>
      <c r="G441" s="4">
        <v>102.98</v>
      </c>
      <c r="H441" s="4">
        <v>22424</v>
      </c>
      <c r="I441" s="4">
        <v>2310.62</v>
      </c>
      <c r="J441" s="4">
        <v>81.8</v>
      </c>
      <c r="K441" s="10">
        <f t="shared" si="12"/>
        <v>8.5574572127139707E-3</v>
      </c>
      <c r="L441" s="4">
        <v>1930.670044</v>
      </c>
      <c r="M441" s="10">
        <f t="shared" si="13"/>
        <v>3.7655295489735195E-2</v>
      </c>
      <c r="N441" s="11">
        <v>-2.48677E-2</v>
      </c>
    </row>
    <row r="442" spans="1:18" x14ac:dyDescent="0.2">
      <c r="A442" s="3" t="s">
        <v>448</v>
      </c>
      <c r="B442" s="5">
        <v>2030.49</v>
      </c>
      <c r="C442" s="5">
        <v>7001.84</v>
      </c>
      <c r="D442" s="5">
        <v>2236.84</v>
      </c>
      <c r="E442" s="5">
        <v>18600.2</v>
      </c>
      <c r="F442" s="5">
        <v>101.92</v>
      </c>
      <c r="G442" s="5">
        <v>96.38</v>
      </c>
      <c r="H442" s="5">
        <v>22231</v>
      </c>
      <c r="I442" s="5">
        <v>2326.9899999999998</v>
      </c>
      <c r="J442" s="5">
        <v>82.5</v>
      </c>
      <c r="K442" s="10">
        <f t="shared" si="12"/>
        <v>2.5454545454545386E-2</v>
      </c>
      <c r="L442" s="4">
        <v>2003.369995</v>
      </c>
      <c r="M442" s="10">
        <f t="shared" si="13"/>
        <v>-1.5513837223063749E-2</v>
      </c>
      <c r="N442" s="11">
        <v>-6.7766300000000002E-2</v>
      </c>
    </row>
    <row r="443" spans="1:18" x14ac:dyDescent="0.2">
      <c r="A443" s="3" t="s">
        <v>449</v>
      </c>
      <c r="B443" s="4">
        <v>1990.43</v>
      </c>
      <c r="C443" s="4">
        <v>6872.22</v>
      </c>
      <c r="D443" s="4">
        <v>2117.2399999999998</v>
      </c>
      <c r="E443" s="4">
        <v>18034.8</v>
      </c>
      <c r="F443" s="4">
        <v>97.33</v>
      </c>
      <c r="G443" s="4">
        <v>93.34</v>
      </c>
      <c r="H443" s="4">
        <v>21090.5</v>
      </c>
      <c r="I443" s="4">
        <v>2294.59</v>
      </c>
      <c r="J443" s="4">
        <v>84.6</v>
      </c>
      <c r="K443" s="10">
        <f t="shared" si="12"/>
        <v>2.7186761229314557E-2</v>
      </c>
      <c r="L443" s="4">
        <v>1972.290039</v>
      </c>
      <c r="M443" s="10">
        <f t="shared" si="13"/>
        <v>2.3201460786772227E-2</v>
      </c>
      <c r="N443" s="11">
        <v>-1.01666E-2</v>
      </c>
    </row>
    <row r="444" spans="1:18" x14ac:dyDescent="0.2">
      <c r="A444" s="3" t="s">
        <v>450</v>
      </c>
      <c r="B444" s="5">
        <v>1946.19</v>
      </c>
      <c r="C444" s="5">
        <v>6737.48</v>
      </c>
      <c r="D444" s="5">
        <v>2034.26</v>
      </c>
      <c r="E444" s="5">
        <v>15812.4</v>
      </c>
      <c r="F444" s="5">
        <v>87.26</v>
      </c>
      <c r="G444" s="5">
        <v>84.4</v>
      </c>
      <c r="H444" s="5">
        <v>19830.400000000001</v>
      </c>
      <c r="I444" s="5">
        <v>2276.83</v>
      </c>
      <c r="J444" s="5">
        <v>86.9</v>
      </c>
      <c r="K444" s="10">
        <f t="shared" si="12"/>
        <v>2.1864211737629358E-2</v>
      </c>
      <c r="L444" s="4">
        <v>2018.0500489999999</v>
      </c>
      <c r="M444" s="10">
        <f t="shared" si="13"/>
        <v>2.4533588760364766E-2</v>
      </c>
      <c r="N444" s="11">
        <v>-0.1026773</v>
      </c>
      <c r="P444" s="14" t="s">
        <v>466</v>
      </c>
      <c r="Q444" s="13">
        <f xml:space="preserve"> MAX(N3:N452)</f>
        <v>2.836741</v>
      </c>
      <c r="R444" s="12"/>
    </row>
    <row r="445" spans="1:18" x14ac:dyDescent="0.2">
      <c r="A445" s="3" t="s">
        <v>451</v>
      </c>
      <c r="B445" s="4">
        <v>2055.56</v>
      </c>
      <c r="C445" s="4">
        <v>6712.85</v>
      </c>
      <c r="D445" s="4">
        <v>2030.18</v>
      </c>
      <c r="E445" s="4">
        <v>15807.1</v>
      </c>
      <c r="F445" s="4">
        <v>78.430000000000007</v>
      </c>
      <c r="G445" s="4">
        <v>75.7</v>
      </c>
      <c r="H445" s="4">
        <v>20033.5</v>
      </c>
      <c r="I445" s="4">
        <v>2253.23</v>
      </c>
      <c r="J445" s="4">
        <v>88.8</v>
      </c>
      <c r="K445" s="10">
        <f t="shared" si="12"/>
        <v>5.4054054054054022E-2</v>
      </c>
      <c r="L445" s="4">
        <v>2067.5600589999999</v>
      </c>
      <c r="M445" s="10">
        <f t="shared" si="13"/>
        <v>-4.1885878779204062E-3</v>
      </c>
      <c r="N445" s="11">
        <v>-4.3878300000000002E-2</v>
      </c>
      <c r="P445" s="14" t="s">
        <v>467</v>
      </c>
      <c r="Q445" s="13">
        <f xml:space="preserve"> MIN(N3:N452)</f>
        <v>-1.4775659999999999</v>
      </c>
    </row>
    <row r="446" spans="1:18" x14ac:dyDescent="0.2">
      <c r="A446" s="3" t="s">
        <v>452</v>
      </c>
      <c r="B446" s="5">
        <v>1909.46</v>
      </c>
      <c r="C446" s="5">
        <v>6446.45</v>
      </c>
      <c r="D446" s="5">
        <v>1938.11</v>
      </c>
      <c r="E446" s="5">
        <v>15962</v>
      </c>
      <c r="F446" s="5">
        <v>62.16</v>
      </c>
      <c r="G446" s="5">
        <v>59.09</v>
      </c>
      <c r="H446" s="5">
        <v>19829.7</v>
      </c>
      <c r="I446" s="5">
        <v>2175.7600000000002</v>
      </c>
      <c r="J446" s="5">
        <v>93.6</v>
      </c>
      <c r="K446" s="10">
        <f t="shared" si="12"/>
        <v>4.807692307692308E-2</v>
      </c>
      <c r="L446" s="4">
        <v>2058.8999020000001</v>
      </c>
      <c r="M446" s="10">
        <f t="shared" si="13"/>
        <v>-3.1040805790470173E-2</v>
      </c>
      <c r="N446" s="11">
        <v>2.7260000000000001E-3</v>
      </c>
      <c r="P446" s="14" t="s">
        <v>468</v>
      </c>
      <c r="Q446" s="13">
        <f xml:space="preserve"> AVERAGE(N3:N452)</f>
        <v>0.19324981022222232</v>
      </c>
    </row>
    <row r="447" spans="1:18" x14ac:dyDescent="0.2">
      <c r="A447" s="3" t="s">
        <v>453</v>
      </c>
      <c r="B447" s="4">
        <v>1814.72</v>
      </c>
      <c r="C447" s="4">
        <v>5830.54</v>
      </c>
      <c r="D447" s="4">
        <v>1843.13</v>
      </c>
      <c r="E447" s="4">
        <v>14849.2</v>
      </c>
      <c r="F447" s="4">
        <v>48.41</v>
      </c>
      <c r="G447" s="4">
        <v>47.6</v>
      </c>
      <c r="H447" s="4">
        <v>19454.099999999999</v>
      </c>
      <c r="I447" s="4">
        <v>2113.0500000000002</v>
      </c>
      <c r="J447" s="4">
        <v>98.1</v>
      </c>
      <c r="K447" s="10">
        <f t="shared" si="12"/>
        <v>-2.7522935779816401E-2</v>
      </c>
      <c r="L447" s="4">
        <v>1994.98999</v>
      </c>
      <c r="M447" s="10">
        <f t="shared" si="13"/>
        <v>5.4892511014553995E-2</v>
      </c>
      <c r="N447" s="11">
        <v>0.13033520000000001</v>
      </c>
      <c r="P447" s="14" t="s">
        <v>469</v>
      </c>
      <c r="Q447">
        <f xml:space="preserve"> _xlfn.STDEV.P(N3:N452)</f>
        <v>0.73314423330115486</v>
      </c>
    </row>
    <row r="448" spans="1:18" x14ac:dyDescent="0.2">
      <c r="A448" s="3" t="s">
        <v>454</v>
      </c>
      <c r="B448" s="5">
        <v>1817.82</v>
      </c>
      <c r="C448" s="5">
        <v>5729.27</v>
      </c>
      <c r="D448" s="5">
        <v>1795.66</v>
      </c>
      <c r="E448" s="5">
        <v>14573.8</v>
      </c>
      <c r="F448" s="5">
        <v>57.93</v>
      </c>
      <c r="G448" s="5">
        <v>50.71</v>
      </c>
      <c r="H448" s="5">
        <v>18233.900000000001</v>
      </c>
      <c r="I448" s="5">
        <v>2097.7600000000002</v>
      </c>
      <c r="J448" s="5">
        <v>95.4</v>
      </c>
      <c r="K448" s="10">
        <f t="shared" si="12"/>
        <v>-2.5157232704402573E-2</v>
      </c>
      <c r="L448" s="4">
        <v>2104.5</v>
      </c>
      <c r="M448" s="10">
        <f t="shared" si="13"/>
        <v>-1.7396106913756221E-2</v>
      </c>
      <c r="N448" s="11">
        <v>0.17468980000000001</v>
      </c>
      <c r="P448" s="14" t="s">
        <v>471</v>
      </c>
      <c r="Q448">
        <f xml:space="preserve"> Q446+2*Q447</f>
        <v>1.6595382768245321</v>
      </c>
    </row>
    <row r="449" spans="1:17" x14ac:dyDescent="0.2">
      <c r="A449" s="3" t="s">
        <v>455</v>
      </c>
      <c r="B449" s="4">
        <v>1773.86</v>
      </c>
      <c r="C449" s="4">
        <v>5939.67</v>
      </c>
      <c r="D449" s="4">
        <v>1792.47</v>
      </c>
      <c r="E449" s="4">
        <v>13755.5</v>
      </c>
      <c r="F449" s="4">
        <v>55.79</v>
      </c>
      <c r="G449" s="4">
        <v>47.78</v>
      </c>
      <c r="H449" s="4">
        <v>17421.900000000001</v>
      </c>
      <c r="I449" s="4">
        <v>2028.73</v>
      </c>
      <c r="J449" s="4">
        <v>93</v>
      </c>
      <c r="K449" s="10">
        <f t="shared" si="12"/>
        <v>3.1182795698924792E-2</v>
      </c>
      <c r="L449" s="4">
        <v>2067.889893</v>
      </c>
      <c r="M449" s="10">
        <f t="shared" si="13"/>
        <v>8.5208197301247391E-3</v>
      </c>
      <c r="N449" s="11">
        <v>0.1288308</v>
      </c>
      <c r="P449" s="14" t="s">
        <v>470</v>
      </c>
      <c r="Q449">
        <f xml:space="preserve"> Q446-2*Q447</f>
        <v>-1.2730386563800873</v>
      </c>
    </row>
    <row r="450" spans="1:17" x14ac:dyDescent="0.2">
      <c r="A450" s="3" t="s">
        <v>456</v>
      </c>
      <c r="B450" s="5">
        <v>1819.19</v>
      </c>
      <c r="C450" s="5">
        <v>6042.09</v>
      </c>
      <c r="D450" s="5">
        <v>2005.36</v>
      </c>
      <c r="E450" s="5">
        <v>12830.9</v>
      </c>
      <c r="F450" s="5">
        <v>59.38</v>
      </c>
      <c r="G450" s="5">
        <v>54.2</v>
      </c>
      <c r="H450" s="5">
        <v>15900.9</v>
      </c>
      <c r="I450" s="5">
        <v>2212.7199999999998</v>
      </c>
      <c r="J450" s="5">
        <v>95.9</v>
      </c>
      <c r="K450" s="10">
        <f t="shared" si="12"/>
        <v>-5.4223149113660087E-2</v>
      </c>
      <c r="L450" s="4">
        <v>2085.51001</v>
      </c>
      <c r="M450" s="10">
        <f t="shared" si="13"/>
        <v>1.0491382393316857E-2</v>
      </c>
      <c r="N450" s="11">
        <v>-6.3618999999999995E-2</v>
      </c>
    </row>
    <row r="451" spans="1:17" x14ac:dyDescent="0.2">
      <c r="A451" s="3" t="s">
        <v>457</v>
      </c>
      <c r="B451" s="4">
        <v>1804.04</v>
      </c>
      <c r="C451" s="4">
        <v>6294.78</v>
      </c>
      <c r="D451" s="4">
        <v>1991.78</v>
      </c>
      <c r="E451" s="4">
        <v>13511.3</v>
      </c>
      <c r="F451" s="4">
        <v>64.56</v>
      </c>
      <c r="G451" s="4">
        <v>59.26</v>
      </c>
      <c r="H451" s="4">
        <v>15803.6</v>
      </c>
      <c r="I451" s="4">
        <v>2281.8000000000002</v>
      </c>
      <c r="J451" s="4">
        <v>90.7</v>
      </c>
      <c r="K451" s="10">
        <f t="shared" si="12"/>
        <v>5.9536934950385791E-2</v>
      </c>
      <c r="L451" s="4">
        <v>2107.389893</v>
      </c>
      <c r="M451" s="10">
        <f t="shared" si="13"/>
        <v>-2.1011672375900521E-2</v>
      </c>
      <c r="N451" s="11">
        <v>-4.05446E-2</v>
      </c>
    </row>
    <row r="452" spans="1:17" x14ac:dyDescent="0.2">
      <c r="A452" s="3" t="s">
        <v>458</v>
      </c>
      <c r="B452" s="5">
        <v>1687.73</v>
      </c>
      <c r="C452" s="5">
        <v>5833.01</v>
      </c>
      <c r="D452" s="5">
        <v>1829.5</v>
      </c>
      <c r="E452" s="5">
        <v>12825.2</v>
      </c>
      <c r="F452" s="5">
        <v>62.34</v>
      </c>
      <c r="G452" s="5">
        <v>59.8</v>
      </c>
      <c r="H452" s="5">
        <v>15064.9</v>
      </c>
      <c r="I452" s="5">
        <v>2082.09</v>
      </c>
      <c r="J452" s="5">
        <v>96.1</v>
      </c>
      <c r="K452" s="10"/>
      <c r="L452" s="4">
        <v>2063.110107</v>
      </c>
      <c r="M452" s="10"/>
      <c r="N452" s="11">
        <v>2.3349E-3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3"/>
  <sheetViews>
    <sheetView topLeftCell="A235" workbookViewId="0">
      <selection activeCell="B254" sqref="B254:B703"/>
    </sheetView>
  </sheetViews>
  <sheetFormatPr defaultRowHeight="15" x14ac:dyDescent="0.25"/>
  <cols>
    <col min="1" max="1" width="10.7109375" style="7" bestFit="1" customWidth="1"/>
    <col min="2" max="16384" width="9.140625" style="7"/>
  </cols>
  <sheetData>
    <row r="1" spans="1:2" x14ac:dyDescent="0.25">
      <c r="A1" s="7" t="s">
        <v>461</v>
      </c>
      <c r="B1" s="7" t="s">
        <v>460</v>
      </c>
    </row>
    <row r="2" spans="1:2" x14ac:dyDescent="0.25">
      <c r="A2" s="8">
        <v>20850</v>
      </c>
      <c r="B2" s="7">
        <v>44.720001000000003</v>
      </c>
    </row>
    <row r="3" spans="1:2" x14ac:dyDescent="0.25">
      <c r="A3" s="8">
        <v>20852</v>
      </c>
      <c r="B3" s="7">
        <v>43.259998000000003</v>
      </c>
    </row>
    <row r="4" spans="1:2" x14ac:dyDescent="0.25">
      <c r="A4" s="8">
        <v>20880</v>
      </c>
      <c r="B4" s="7">
        <v>44.110000999999997</v>
      </c>
    </row>
    <row r="5" spans="1:2" x14ac:dyDescent="0.25">
      <c r="A5" s="8">
        <v>20911</v>
      </c>
      <c r="B5" s="7">
        <v>45.740001999999997</v>
      </c>
    </row>
    <row r="6" spans="1:2" x14ac:dyDescent="0.25">
      <c r="A6" s="8">
        <v>20941</v>
      </c>
      <c r="B6" s="7">
        <v>47.43</v>
      </c>
    </row>
    <row r="7" spans="1:2" x14ac:dyDescent="0.25">
      <c r="A7" s="8">
        <v>20974</v>
      </c>
      <c r="B7" s="7">
        <v>47.369999</v>
      </c>
    </row>
    <row r="8" spans="1:2" x14ac:dyDescent="0.25">
      <c r="A8" s="8">
        <v>21002</v>
      </c>
      <c r="B8" s="7">
        <v>47.91</v>
      </c>
    </row>
    <row r="9" spans="1:2" x14ac:dyDescent="0.25">
      <c r="A9" s="8">
        <v>21033</v>
      </c>
      <c r="B9" s="7">
        <v>45.220001000000003</v>
      </c>
    </row>
    <row r="10" spans="1:2" x14ac:dyDescent="0.25">
      <c r="A10" s="8">
        <v>21066</v>
      </c>
      <c r="B10" s="7">
        <v>42.419998</v>
      </c>
    </row>
    <row r="11" spans="1:2" x14ac:dyDescent="0.25">
      <c r="A11" s="8">
        <v>21094</v>
      </c>
      <c r="B11" s="7">
        <v>41.060001</v>
      </c>
    </row>
    <row r="12" spans="1:2" x14ac:dyDescent="0.25">
      <c r="A12" s="8">
        <v>21125</v>
      </c>
      <c r="B12" s="7">
        <v>41.720001000000003</v>
      </c>
    </row>
    <row r="13" spans="1:2" x14ac:dyDescent="0.25">
      <c r="A13" s="8">
        <v>21156</v>
      </c>
      <c r="B13" s="7">
        <v>39.990001999999997</v>
      </c>
    </row>
    <row r="14" spans="1:2" x14ac:dyDescent="0.25">
      <c r="A14" s="8">
        <v>21187</v>
      </c>
      <c r="B14" s="7">
        <v>41.700001</v>
      </c>
    </row>
    <row r="15" spans="1:2" x14ac:dyDescent="0.25">
      <c r="A15" s="8">
        <v>21219</v>
      </c>
      <c r="B15" s="7">
        <v>40.840000000000003</v>
      </c>
    </row>
    <row r="16" spans="1:2" x14ac:dyDescent="0.25">
      <c r="A16" s="8">
        <v>21247</v>
      </c>
      <c r="B16" s="7">
        <v>42.099997999999999</v>
      </c>
    </row>
    <row r="17" spans="1:2" x14ac:dyDescent="0.25">
      <c r="A17" s="8">
        <v>21276</v>
      </c>
      <c r="B17" s="7">
        <v>43.439999</v>
      </c>
    </row>
    <row r="18" spans="1:2" x14ac:dyDescent="0.25">
      <c r="A18" s="8">
        <v>21306</v>
      </c>
      <c r="B18" s="7">
        <v>44.09</v>
      </c>
    </row>
    <row r="19" spans="1:2" x14ac:dyDescent="0.25">
      <c r="A19" s="8">
        <v>21338</v>
      </c>
      <c r="B19" s="7">
        <v>45.240001999999997</v>
      </c>
    </row>
    <row r="20" spans="1:2" x14ac:dyDescent="0.25">
      <c r="A20" s="8">
        <v>21367</v>
      </c>
      <c r="B20" s="7">
        <v>47.189999</v>
      </c>
    </row>
    <row r="21" spans="1:2" x14ac:dyDescent="0.25">
      <c r="A21" s="8">
        <v>21398</v>
      </c>
      <c r="B21" s="7">
        <v>47.75</v>
      </c>
    </row>
    <row r="22" spans="1:2" x14ac:dyDescent="0.25">
      <c r="A22" s="8">
        <v>21430</v>
      </c>
      <c r="B22" s="7">
        <v>50.060001</v>
      </c>
    </row>
    <row r="23" spans="1:2" x14ac:dyDescent="0.25">
      <c r="A23" s="8">
        <v>21459</v>
      </c>
      <c r="B23" s="7">
        <v>51.330002</v>
      </c>
    </row>
    <row r="24" spans="1:2" x14ac:dyDescent="0.25">
      <c r="A24" s="8">
        <v>21492</v>
      </c>
      <c r="B24" s="7">
        <v>52.48</v>
      </c>
    </row>
    <row r="25" spans="1:2" x14ac:dyDescent="0.25">
      <c r="A25" s="8">
        <v>21520</v>
      </c>
      <c r="B25" s="7">
        <v>55.209999000000003</v>
      </c>
    </row>
    <row r="26" spans="1:2" x14ac:dyDescent="0.25">
      <c r="A26" s="8">
        <v>21552</v>
      </c>
      <c r="B26" s="7">
        <v>55.450001</v>
      </c>
    </row>
    <row r="27" spans="1:2" x14ac:dyDescent="0.25">
      <c r="A27" s="8">
        <v>21583</v>
      </c>
      <c r="B27" s="7">
        <v>55.41</v>
      </c>
    </row>
    <row r="28" spans="1:2" x14ac:dyDescent="0.25">
      <c r="A28" s="8">
        <v>21611</v>
      </c>
      <c r="B28" s="7">
        <v>55.439999</v>
      </c>
    </row>
    <row r="29" spans="1:2" x14ac:dyDescent="0.25">
      <c r="A29" s="8">
        <v>21641</v>
      </c>
      <c r="B29" s="7">
        <v>57.59</v>
      </c>
    </row>
    <row r="30" spans="1:2" x14ac:dyDescent="0.25">
      <c r="A30" s="8">
        <v>21671</v>
      </c>
      <c r="B30" s="7">
        <v>58.68</v>
      </c>
    </row>
    <row r="31" spans="1:2" x14ac:dyDescent="0.25">
      <c r="A31" s="8">
        <v>21702</v>
      </c>
      <c r="B31" s="7">
        <v>58.470001000000003</v>
      </c>
    </row>
    <row r="32" spans="1:2" x14ac:dyDescent="0.25">
      <c r="A32" s="8">
        <v>21732</v>
      </c>
      <c r="B32" s="7">
        <v>60.509998000000003</v>
      </c>
    </row>
    <row r="33" spans="1:2" x14ac:dyDescent="0.25">
      <c r="A33" s="8">
        <v>21765</v>
      </c>
      <c r="B33" s="7">
        <v>59.599997999999999</v>
      </c>
    </row>
    <row r="34" spans="1:2" x14ac:dyDescent="0.25">
      <c r="A34" s="8">
        <v>21794</v>
      </c>
      <c r="B34" s="7">
        <v>56.880001</v>
      </c>
    </row>
    <row r="35" spans="1:2" x14ac:dyDescent="0.25">
      <c r="A35" s="8">
        <v>21824</v>
      </c>
      <c r="B35" s="7">
        <v>57.52</v>
      </c>
    </row>
    <row r="36" spans="1:2" x14ac:dyDescent="0.25">
      <c r="A36" s="8">
        <v>21856</v>
      </c>
      <c r="B36" s="7">
        <v>58.279998999999997</v>
      </c>
    </row>
    <row r="37" spans="1:2" x14ac:dyDescent="0.25">
      <c r="A37" s="8">
        <v>21885</v>
      </c>
      <c r="B37" s="7">
        <v>59.889999000000003</v>
      </c>
    </row>
    <row r="38" spans="1:2" x14ac:dyDescent="0.25">
      <c r="A38" s="8">
        <v>21919</v>
      </c>
      <c r="B38" s="7">
        <v>55.610000999999997</v>
      </c>
    </row>
    <row r="39" spans="1:2" x14ac:dyDescent="0.25">
      <c r="A39" s="8">
        <v>21947</v>
      </c>
      <c r="B39" s="7">
        <v>56.119999</v>
      </c>
    </row>
    <row r="40" spans="1:2" x14ac:dyDescent="0.25">
      <c r="A40" s="8">
        <v>21976</v>
      </c>
      <c r="B40" s="7">
        <v>55.34</v>
      </c>
    </row>
    <row r="41" spans="1:2" x14ac:dyDescent="0.25">
      <c r="A41" s="8">
        <v>22007</v>
      </c>
      <c r="B41" s="7">
        <v>54.369999</v>
      </c>
    </row>
    <row r="42" spans="1:2" x14ac:dyDescent="0.25">
      <c r="A42" s="8">
        <v>22038</v>
      </c>
      <c r="B42" s="7">
        <v>55.830002</v>
      </c>
    </row>
    <row r="43" spans="1:2" x14ac:dyDescent="0.25">
      <c r="A43" s="8">
        <v>22068</v>
      </c>
      <c r="B43" s="7">
        <v>56.919998</v>
      </c>
    </row>
    <row r="44" spans="1:2" x14ac:dyDescent="0.25">
      <c r="A44" s="8">
        <v>22098</v>
      </c>
      <c r="B44" s="7">
        <v>55.509998000000003</v>
      </c>
    </row>
    <row r="45" spans="1:2" x14ac:dyDescent="0.25">
      <c r="A45" s="8">
        <v>22129</v>
      </c>
      <c r="B45" s="7">
        <v>56.959999000000003</v>
      </c>
    </row>
    <row r="46" spans="1:2" x14ac:dyDescent="0.25">
      <c r="A46" s="8">
        <v>22160</v>
      </c>
      <c r="B46" s="7">
        <v>53.52</v>
      </c>
    </row>
    <row r="47" spans="1:2" x14ac:dyDescent="0.25">
      <c r="A47" s="8">
        <v>22192</v>
      </c>
      <c r="B47" s="7">
        <v>53.389999000000003</v>
      </c>
    </row>
    <row r="48" spans="1:2" x14ac:dyDescent="0.25">
      <c r="A48" s="8">
        <v>22221</v>
      </c>
      <c r="B48" s="7">
        <v>55.540000999999997</v>
      </c>
    </row>
    <row r="49" spans="1:2" x14ac:dyDescent="0.25">
      <c r="A49" s="8">
        <v>22251</v>
      </c>
      <c r="B49" s="7">
        <v>58.110000999999997</v>
      </c>
    </row>
    <row r="50" spans="1:2" x14ac:dyDescent="0.25">
      <c r="A50" s="8">
        <v>22284</v>
      </c>
      <c r="B50" s="7">
        <v>61.779998999999997</v>
      </c>
    </row>
    <row r="51" spans="1:2" x14ac:dyDescent="0.25">
      <c r="A51" s="8">
        <v>22313</v>
      </c>
      <c r="B51" s="7">
        <v>63.439999</v>
      </c>
    </row>
    <row r="52" spans="1:2" x14ac:dyDescent="0.25">
      <c r="A52" s="8">
        <v>22341</v>
      </c>
      <c r="B52" s="7">
        <v>65.059997999999993</v>
      </c>
    </row>
    <row r="53" spans="1:2" x14ac:dyDescent="0.25">
      <c r="A53" s="8">
        <v>22374</v>
      </c>
      <c r="B53" s="7">
        <v>65.309997999999993</v>
      </c>
    </row>
    <row r="54" spans="1:2" x14ac:dyDescent="0.25">
      <c r="A54" s="8">
        <v>22402</v>
      </c>
      <c r="B54" s="7">
        <v>66.559997999999993</v>
      </c>
    </row>
    <row r="55" spans="1:2" x14ac:dyDescent="0.25">
      <c r="A55" s="8">
        <v>22433</v>
      </c>
      <c r="B55" s="7">
        <v>64.639999000000003</v>
      </c>
    </row>
    <row r="56" spans="1:2" x14ac:dyDescent="0.25">
      <c r="A56" s="8">
        <v>22465</v>
      </c>
      <c r="B56" s="7">
        <v>66.760002</v>
      </c>
    </row>
    <row r="57" spans="1:2" x14ac:dyDescent="0.25">
      <c r="A57" s="8">
        <v>22494</v>
      </c>
      <c r="B57" s="7">
        <v>68.069999999999993</v>
      </c>
    </row>
    <row r="58" spans="1:2" x14ac:dyDescent="0.25">
      <c r="A58" s="8">
        <v>22525</v>
      </c>
      <c r="B58" s="7">
        <v>66.730002999999996</v>
      </c>
    </row>
    <row r="59" spans="1:2" x14ac:dyDescent="0.25">
      <c r="A59" s="8">
        <v>22556</v>
      </c>
      <c r="B59" s="7">
        <v>68.620002999999997</v>
      </c>
    </row>
    <row r="60" spans="1:2" x14ac:dyDescent="0.25">
      <c r="A60" s="8">
        <v>22586</v>
      </c>
      <c r="B60" s="7">
        <v>71.319999999999993</v>
      </c>
    </row>
    <row r="61" spans="1:2" x14ac:dyDescent="0.25">
      <c r="A61" s="8">
        <v>22616</v>
      </c>
      <c r="B61" s="7">
        <v>71.550003000000004</v>
      </c>
    </row>
    <row r="62" spans="1:2" x14ac:dyDescent="0.25">
      <c r="A62" s="8">
        <v>22648</v>
      </c>
      <c r="B62" s="7">
        <v>68.839995999999999</v>
      </c>
    </row>
    <row r="63" spans="1:2" x14ac:dyDescent="0.25">
      <c r="A63" s="8">
        <v>22678</v>
      </c>
      <c r="B63" s="7">
        <v>69.959998999999996</v>
      </c>
    </row>
    <row r="64" spans="1:2" x14ac:dyDescent="0.25">
      <c r="A64" s="8">
        <v>22706</v>
      </c>
      <c r="B64" s="7">
        <v>69.550003000000004</v>
      </c>
    </row>
    <row r="65" spans="1:2" x14ac:dyDescent="0.25">
      <c r="A65" s="8">
        <v>22738</v>
      </c>
      <c r="B65" s="7">
        <v>65.239998</v>
      </c>
    </row>
    <row r="66" spans="1:2" x14ac:dyDescent="0.25">
      <c r="A66" s="8">
        <v>22767</v>
      </c>
      <c r="B66" s="7">
        <v>59.630001</v>
      </c>
    </row>
    <row r="67" spans="1:2" x14ac:dyDescent="0.25">
      <c r="A67" s="8">
        <v>22798</v>
      </c>
      <c r="B67" s="7">
        <v>54.75</v>
      </c>
    </row>
    <row r="68" spans="1:2" x14ac:dyDescent="0.25">
      <c r="A68" s="8">
        <v>22829</v>
      </c>
      <c r="B68" s="7">
        <v>58.23</v>
      </c>
    </row>
    <row r="69" spans="1:2" x14ac:dyDescent="0.25">
      <c r="A69" s="8">
        <v>22859</v>
      </c>
      <c r="B69" s="7">
        <v>59.119999</v>
      </c>
    </row>
    <row r="70" spans="1:2" x14ac:dyDescent="0.25">
      <c r="A70" s="8">
        <v>22893</v>
      </c>
      <c r="B70" s="7">
        <v>56.27</v>
      </c>
    </row>
    <row r="71" spans="1:2" x14ac:dyDescent="0.25">
      <c r="A71" s="8">
        <v>22920</v>
      </c>
      <c r="B71" s="7">
        <v>56.52</v>
      </c>
    </row>
    <row r="72" spans="1:2" x14ac:dyDescent="0.25">
      <c r="A72" s="8">
        <v>22951</v>
      </c>
      <c r="B72" s="7">
        <v>62.259998000000003</v>
      </c>
    </row>
    <row r="73" spans="1:2" x14ac:dyDescent="0.25">
      <c r="A73" s="8">
        <v>22983</v>
      </c>
      <c r="B73" s="7">
        <v>63.099997999999999</v>
      </c>
    </row>
    <row r="74" spans="1:2" x14ac:dyDescent="0.25">
      <c r="A74" s="8">
        <v>23013</v>
      </c>
      <c r="B74" s="7">
        <v>66.199996999999996</v>
      </c>
    </row>
    <row r="75" spans="1:2" x14ac:dyDescent="0.25">
      <c r="A75" s="8">
        <v>23043</v>
      </c>
      <c r="B75" s="7">
        <v>64.290001000000004</v>
      </c>
    </row>
    <row r="76" spans="1:2" x14ac:dyDescent="0.25">
      <c r="A76" s="8">
        <v>23071</v>
      </c>
      <c r="B76" s="7">
        <v>66.569999999999993</v>
      </c>
    </row>
    <row r="77" spans="1:2" x14ac:dyDescent="0.25">
      <c r="A77" s="8">
        <v>23102</v>
      </c>
      <c r="B77" s="7">
        <v>69.800003000000004</v>
      </c>
    </row>
    <row r="78" spans="1:2" x14ac:dyDescent="0.25">
      <c r="A78" s="8">
        <v>23132</v>
      </c>
      <c r="B78" s="7">
        <v>70.800003000000004</v>
      </c>
    </row>
    <row r="79" spans="1:2" x14ac:dyDescent="0.25">
      <c r="A79" s="8">
        <v>23165</v>
      </c>
      <c r="B79" s="7">
        <v>69.370002999999997</v>
      </c>
    </row>
    <row r="80" spans="1:2" x14ac:dyDescent="0.25">
      <c r="A80" s="8">
        <v>23193</v>
      </c>
      <c r="B80" s="7">
        <v>69.129997000000003</v>
      </c>
    </row>
    <row r="81" spans="1:2" x14ac:dyDescent="0.25">
      <c r="A81" s="8">
        <v>23224</v>
      </c>
      <c r="B81" s="7">
        <v>72.5</v>
      </c>
    </row>
    <row r="82" spans="1:2" x14ac:dyDescent="0.25">
      <c r="A82" s="8">
        <v>23257</v>
      </c>
      <c r="B82" s="7">
        <v>71.699996999999996</v>
      </c>
    </row>
    <row r="83" spans="1:2" x14ac:dyDescent="0.25">
      <c r="A83" s="8">
        <v>23285</v>
      </c>
      <c r="B83" s="7">
        <v>74.010002</v>
      </c>
    </row>
    <row r="84" spans="1:2" x14ac:dyDescent="0.25">
      <c r="A84" s="8">
        <v>23316</v>
      </c>
      <c r="B84" s="7">
        <v>73.230002999999996</v>
      </c>
    </row>
    <row r="85" spans="1:2" x14ac:dyDescent="0.25">
      <c r="A85" s="8">
        <v>23347</v>
      </c>
      <c r="B85" s="7">
        <v>75.019997000000004</v>
      </c>
    </row>
    <row r="86" spans="1:2" x14ac:dyDescent="0.25">
      <c r="A86" s="8">
        <v>23378</v>
      </c>
      <c r="B86" s="7">
        <v>77.040001000000004</v>
      </c>
    </row>
    <row r="87" spans="1:2" x14ac:dyDescent="0.25">
      <c r="A87" s="8">
        <v>23410</v>
      </c>
      <c r="B87" s="7">
        <v>77.800003000000004</v>
      </c>
    </row>
    <row r="88" spans="1:2" x14ac:dyDescent="0.25">
      <c r="A88" s="8">
        <v>23438</v>
      </c>
      <c r="B88" s="7">
        <v>78.980002999999996</v>
      </c>
    </row>
    <row r="89" spans="1:2" x14ac:dyDescent="0.25">
      <c r="A89" s="8">
        <v>23468</v>
      </c>
      <c r="B89" s="7">
        <v>79.459998999999996</v>
      </c>
    </row>
    <row r="90" spans="1:2" x14ac:dyDescent="0.25">
      <c r="A90" s="8">
        <v>23498</v>
      </c>
      <c r="B90" s="7">
        <v>80.370002999999997</v>
      </c>
    </row>
    <row r="91" spans="1:2" x14ac:dyDescent="0.25">
      <c r="A91" s="8">
        <v>23529</v>
      </c>
      <c r="B91" s="7">
        <v>81.690002000000007</v>
      </c>
    </row>
    <row r="92" spans="1:2" x14ac:dyDescent="0.25">
      <c r="A92" s="8">
        <v>23559</v>
      </c>
      <c r="B92" s="7">
        <v>83.18</v>
      </c>
    </row>
    <row r="93" spans="1:2" x14ac:dyDescent="0.25">
      <c r="A93" s="8">
        <v>23592</v>
      </c>
      <c r="B93" s="7">
        <v>81.830001999999993</v>
      </c>
    </row>
    <row r="94" spans="1:2" x14ac:dyDescent="0.25">
      <c r="A94" s="8">
        <v>23621</v>
      </c>
      <c r="B94" s="7">
        <v>84.18</v>
      </c>
    </row>
    <row r="95" spans="1:2" x14ac:dyDescent="0.25">
      <c r="A95" s="8">
        <v>23651</v>
      </c>
      <c r="B95" s="7">
        <v>84.860000999999997</v>
      </c>
    </row>
    <row r="96" spans="1:2" x14ac:dyDescent="0.25">
      <c r="A96" s="8">
        <v>23683</v>
      </c>
      <c r="B96" s="7">
        <v>84.419998000000007</v>
      </c>
    </row>
    <row r="97" spans="1:2" x14ac:dyDescent="0.25">
      <c r="A97" s="8">
        <v>23712</v>
      </c>
      <c r="B97" s="7">
        <v>84.75</v>
      </c>
    </row>
    <row r="98" spans="1:2" x14ac:dyDescent="0.25">
      <c r="A98" s="8">
        <v>23746</v>
      </c>
      <c r="B98" s="7">
        <v>87.559997999999993</v>
      </c>
    </row>
    <row r="99" spans="1:2" x14ac:dyDescent="0.25">
      <c r="A99" s="8">
        <v>23774</v>
      </c>
      <c r="B99" s="7">
        <v>87.43</v>
      </c>
    </row>
    <row r="100" spans="1:2" x14ac:dyDescent="0.25">
      <c r="A100" s="8">
        <v>23802</v>
      </c>
      <c r="B100" s="7">
        <v>86.160004000000001</v>
      </c>
    </row>
    <row r="101" spans="1:2" x14ac:dyDescent="0.25">
      <c r="A101" s="8">
        <v>23833</v>
      </c>
      <c r="B101" s="7">
        <v>89.110000999999997</v>
      </c>
    </row>
    <row r="102" spans="1:2" x14ac:dyDescent="0.25">
      <c r="A102" s="8">
        <v>23865</v>
      </c>
      <c r="B102" s="7">
        <v>88.419998000000007</v>
      </c>
    </row>
    <row r="103" spans="1:2" x14ac:dyDescent="0.25">
      <c r="A103" s="8">
        <v>23894</v>
      </c>
      <c r="B103" s="7">
        <v>84.120002999999997</v>
      </c>
    </row>
    <row r="104" spans="1:2" x14ac:dyDescent="0.25">
      <c r="A104" s="8">
        <v>23924</v>
      </c>
      <c r="B104" s="7">
        <v>85.25</v>
      </c>
    </row>
    <row r="105" spans="1:2" x14ac:dyDescent="0.25">
      <c r="A105" s="8">
        <v>23956</v>
      </c>
      <c r="B105" s="7">
        <v>87.169998000000007</v>
      </c>
    </row>
    <row r="106" spans="1:2" x14ac:dyDescent="0.25">
      <c r="A106" s="8">
        <v>23986</v>
      </c>
      <c r="B106" s="7">
        <v>89.959998999999996</v>
      </c>
    </row>
    <row r="107" spans="1:2" x14ac:dyDescent="0.25">
      <c r="A107" s="8">
        <v>24016</v>
      </c>
      <c r="B107" s="7">
        <v>92.419998000000007</v>
      </c>
    </row>
    <row r="108" spans="1:2" x14ac:dyDescent="0.25">
      <c r="A108" s="8">
        <v>24047</v>
      </c>
      <c r="B108" s="7">
        <v>91.610000999999997</v>
      </c>
    </row>
    <row r="109" spans="1:2" x14ac:dyDescent="0.25">
      <c r="A109" s="8">
        <v>24077</v>
      </c>
      <c r="B109" s="7">
        <v>92.43</v>
      </c>
    </row>
    <row r="110" spans="1:2" x14ac:dyDescent="0.25">
      <c r="A110" s="8">
        <v>24110</v>
      </c>
      <c r="B110" s="7">
        <v>92.879997000000003</v>
      </c>
    </row>
    <row r="111" spans="1:2" x14ac:dyDescent="0.25">
      <c r="A111" s="8">
        <v>24139</v>
      </c>
      <c r="B111" s="7">
        <v>91.220000999999996</v>
      </c>
    </row>
    <row r="112" spans="1:2" x14ac:dyDescent="0.25">
      <c r="A112" s="8">
        <v>24167</v>
      </c>
      <c r="B112" s="7">
        <v>89.230002999999996</v>
      </c>
    </row>
    <row r="113" spans="1:2" x14ac:dyDescent="0.25">
      <c r="A113" s="8">
        <v>24198</v>
      </c>
      <c r="B113" s="7">
        <v>91.059997999999993</v>
      </c>
    </row>
    <row r="114" spans="1:2" x14ac:dyDescent="0.25">
      <c r="A114" s="8">
        <v>24229</v>
      </c>
      <c r="B114" s="7">
        <v>86.129997000000003</v>
      </c>
    </row>
    <row r="115" spans="1:2" x14ac:dyDescent="0.25">
      <c r="A115" s="8">
        <v>24259</v>
      </c>
      <c r="B115" s="7">
        <v>84.739998</v>
      </c>
    </row>
    <row r="116" spans="1:2" x14ac:dyDescent="0.25">
      <c r="A116" s="8">
        <v>24289</v>
      </c>
      <c r="B116" s="7">
        <v>83.599997999999999</v>
      </c>
    </row>
    <row r="117" spans="1:2" x14ac:dyDescent="0.25">
      <c r="A117" s="8">
        <v>24320</v>
      </c>
      <c r="B117" s="7">
        <v>77.099997999999999</v>
      </c>
    </row>
    <row r="118" spans="1:2" x14ac:dyDescent="0.25">
      <c r="A118" s="8">
        <v>24351</v>
      </c>
      <c r="B118" s="7">
        <v>76.559997999999993</v>
      </c>
    </row>
    <row r="119" spans="1:2" x14ac:dyDescent="0.25">
      <c r="A119" s="8">
        <v>24383</v>
      </c>
      <c r="B119" s="7">
        <v>80.199996999999996</v>
      </c>
    </row>
    <row r="120" spans="1:2" x14ac:dyDescent="0.25">
      <c r="A120" s="8">
        <v>24412</v>
      </c>
      <c r="B120" s="7">
        <v>80.449996999999996</v>
      </c>
    </row>
    <row r="121" spans="1:2" x14ac:dyDescent="0.25">
      <c r="A121" s="8">
        <v>24442</v>
      </c>
      <c r="B121" s="7">
        <v>80.330001999999993</v>
      </c>
    </row>
    <row r="122" spans="1:2" x14ac:dyDescent="0.25">
      <c r="A122" s="8">
        <v>24475</v>
      </c>
      <c r="B122" s="7">
        <v>86.610000999999997</v>
      </c>
    </row>
    <row r="123" spans="1:2" x14ac:dyDescent="0.25">
      <c r="A123" s="8">
        <v>24504</v>
      </c>
      <c r="B123" s="7">
        <v>86.779999000000004</v>
      </c>
    </row>
    <row r="124" spans="1:2" x14ac:dyDescent="0.25">
      <c r="A124" s="8">
        <v>24532</v>
      </c>
      <c r="B124" s="7">
        <v>90.199996999999996</v>
      </c>
    </row>
    <row r="125" spans="1:2" x14ac:dyDescent="0.25">
      <c r="A125" s="8">
        <v>24565</v>
      </c>
      <c r="B125" s="7">
        <v>94.010002</v>
      </c>
    </row>
    <row r="126" spans="1:2" x14ac:dyDescent="0.25">
      <c r="A126" s="8">
        <v>24593</v>
      </c>
      <c r="B126" s="7">
        <v>89.080001999999993</v>
      </c>
    </row>
    <row r="127" spans="1:2" x14ac:dyDescent="0.25">
      <c r="A127" s="8">
        <v>24624</v>
      </c>
      <c r="B127" s="7">
        <v>90.639999000000003</v>
      </c>
    </row>
    <row r="128" spans="1:2" x14ac:dyDescent="0.25">
      <c r="A128" s="8">
        <v>24656</v>
      </c>
      <c r="B128" s="7">
        <v>94.75</v>
      </c>
    </row>
    <row r="129" spans="1:2" x14ac:dyDescent="0.25">
      <c r="A129" s="8">
        <v>24685</v>
      </c>
      <c r="B129" s="7">
        <v>93.639999000000003</v>
      </c>
    </row>
    <row r="130" spans="1:2" x14ac:dyDescent="0.25">
      <c r="A130" s="8">
        <v>24716</v>
      </c>
      <c r="B130" s="7">
        <v>96.709998999999996</v>
      </c>
    </row>
    <row r="131" spans="1:2" x14ac:dyDescent="0.25">
      <c r="A131" s="8">
        <v>24747</v>
      </c>
      <c r="B131" s="7">
        <v>93.300003000000004</v>
      </c>
    </row>
    <row r="132" spans="1:2" x14ac:dyDescent="0.25">
      <c r="A132" s="8">
        <v>24777</v>
      </c>
      <c r="B132" s="7">
        <v>94</v>
      </c>
    </row>
    <row r="133" spans="1:2" x14ac:dyDescent="0.25">
      <c r="A133" s="8">
        <v>24807</v>
      </c>
      <c r="B133" s="7">
        <v>96.470000999999996</v>
      </c>
    </row>
    <row r="134" spans="1:2" x14ac:dyDescent="0.25">
      <c r="A134" s="8">
        <v>24839</v>
      </c>
      <c r="B134" s="7">
        <v>92.239998</v>
      </c>
    </row>
    <row r="135" spans="1:2" x14ac:dyDescent="0.25">
      <c r="A135" s="8">
        <v>24869</v>
      </c>
      <c r="B135" s="7">
        <v>89.360000999999997</v>
      </c>
    </row>
    <row r="136" spans="1:2" x14ac:dyDescent="0.25">
      <c r="A136" s="8">
        <v>24898</v>
      </c>
      <c r="B136" s="7">
        <v>90.199996999999996</v>
      </c>
    </row>
    <row r="137" spans="1:2" x14ac:dyDescent="0.25">
      <c r="A137" s="8">
        <v>24929</v>
      </c>
      <c r="B137" s="7">
        <v>97.459998999999996</v>
      </c>
    </row>
    <row r="138" spans="1:2" x14ac:dyDescent="0.25">
      <c r="A138" s="8">
        <v>24959</v>
      </c>
      <c r="B138" s="7">
        <v>98.68</v>
      </c>
    </row>
    <row r="139" spans="1:2" x14ac:dyDescent="0.25">
      <c r="A139" s="8">
        <v>24992</v>
      </c>
      <c r="B139" s="7">
        <v>99.580001999999993</v>
      </c>
    </row>
    <row r="140" spans="1:2" x14ac:dyDescent="0.25">
      <c r="A140" s="8">
        <v>25020</v>
      </c>
      <c r="B140" s="7">
        <v>97.739998</v>
      </c>
    </row>
    <row r="141" spans="1:2" x14ac:dyDescent="0.25">
      <c r="A141" s="8">
        <v>25051</v>
      </c>
      <c r="B141" s="7">
        <v>98.860000999999997</v>
      </c>
    </row>
    <row r="142" spans="1:2" x14ac:dyDescent="0.25">
      <c r="A142" s="8">
        <v>25084</v>
      </c>
      <c r="B142" s="7">
        <v>102.66999800000001</v>
      </c>
    </row>
    <row r="143" spans="1:2" x14ac:dyDescent="0.25">
      <c r="A143" s="8">
        <v>25112</v>
      </c>
      <c r="B143" s="7">
        <v>103.410004</v>
      </c>
    </row>
    <row r="144" spans="1:2" x14ac:dyDescent="0.25">
      <c r="A144" s="8">
        <v>25143</v>
      </c>
      <c r="B144" s="7">
        <v>108.370003</v>
      </c>
    </row>
    <row r="145" spans="1:2" x14ac:dyDescent="0.25">
      <c r="A145" s="8">
        <v>25174</v>
      </c>
      <c r="B145" s="7">
        <v>103.860001</v>
      </c>
    </row>
    <row r="146" spans="1:2" x14ac:dyDescent="0.25">
      <c r="A146" s="8">
        <v>25205</v>
      </c>
      <c r="B146" s="7">
        <v>103.010002</v>
      </c>
    </row>
    <row r="147" spans="1:2" x14ac:dyDescent="0.25">
      <c r="A147" s="8">
        <v>25237</v>
      </c>
      <c r="B147" s="7">
        <v>98.129997000000003</v>
      </c>
    </row>
    <row r="148" spans="1:2" x14ac:dyDescent="0.25">
      <c r="A148" s="8">
        <v>25265</v>
      </c>
      <c r="B148" s="7">
        <v>101.510002</v>
      </c>
    </row>
    <row r="149" spans="1:2" x14ac:dyDescent="0.25">
      <c r="A149" s="8">
        <v>25294</v>
      </c>
      <c r="B149" s="7">
        <v>103.69000200000001</v>
      </c>
    </row>
    <row r="150" spans="1:2" x14ac:dyDescent="0.25">
      <c r="A150" s="8">
        <v>25324</v>
      </c>
      <c r="B150" s="7">
        <v>103.459999</v>
      </c>
    </row>
    <row r="151" spans="1:2" x14ac:dyDescent="0.25">
      <c r="A151" s="8">
        <v>25356</v>
      </c>
      <c r="B151" s="7">
        <v>97.709998999999996</v>
      </c>
    </row>
    <row r="152" spans="1:2" x14ac:dyDescent="0.25">
      <c r="A152" s="8">
        <v>25385</v>
      </c>
      <c r="B152" s="7">
        <v>91.830001999999993</v>
      </c>
    </row>
    <row r="153" spans="1:2" x14ac:dyDescent="0.25">
      <c r="A153" s="8">
        <v>25416</v>
      </c>
      <c r="B153" s="7">
        <v>95.510002</v>
      </c>
    </row>
    <row r="154" spans="1:2" x14ac:dyDescent="0.25">
      <c r="A154" s="8">
        <v>25448</v>
      </c>
      <c r="B154" s="7">
        <v>93.120002999999997</v>
      </c>
    </row>
    <row r="155" spans="1:2" x14ac:dyDescent="0.25">
      <c r="A155" s="8">
        <v>25477</v>
      </c>
      <c r="B155" s="7">
        <v>97.120002999999997</v>
      </c>
    </row>
    <row r="156" spans="1:2" x14ac:dyDescent="0.25">
      <c r="A156" s="8">
        <v>25510</v>
      </c>
      <c r="B156" s="7">
        <v>93.809997999999993</v>
      </c>
    </row>
    <row r="157" spans="1:2" x14ac:dyDescent="0.25">
      <c r="A157" s="8">
        <v>25538</v>
      </c>
      <c r="B157" s="7">
        <v>92.059997999999993</v>
      </c>
    </row>
    <row r="158" spans="1:2" x14ac:dyDescent="0.25">
      <c r="A158" s="8">
        <v>25570</v>
      </c>
      <c r="B158" s="7">
        <v>85.019997000000004</v>
      </c>
    </row>
    <row r="159" spans="1:2" x14ac:dyDescent="0.25">
      <c r="A159" s="8">
        <v>25601</v>
      </c>
      <c r="B159" s="7">
        <v>89.5</v>
      </c>
    </row>
    <row r="160" spans="1:2" x14ac:dyDescent="0.25">
      <c r="A160" s="8">
        <v>25629</v>
      </c>
      <c r="B160" s="7">
        <v>89.629997000000003</v>
      </c>
    </row>
    <row r="161" spans="1:2" x14ac:dyDescent="0.25">
      <c r="A161" s="8">
        <v>25659</v>
      </c>
      <c r="B161" s="7">
        <v>81.519997000000004</v>
      </c>
    </row>
    <row r="162" spans="1:2" x14ac:dyDescent="0.25">
      <c r="A162" s="8">
        <v>25689</v>
      </c>
      <c r="B162" s="7">
        <v>76.550003000000004</v>
      </c>
    </row>
    <row r="163" spans="1:2" x14ac:dyDescent="0.25">
      <c r="A163" s="8">
        <v>25720</v>
      </c>
      <c r="B163" s="7">
        <v>72.720000999999996</v>
      </c>
    </row>
    <row r="164" spans="1:2" x14ac:dyDescent="0.25">
      <c r="A164" s="8">
        <v>25750</v>
      </c>
      <c r="B164" s="7">
        <v>78.050003000000004</v>
      </c>
    </row>
    <row r="165" spans="1:2" x14ac:dyDescent="0.25">
      <c r="A165" s="8">
        <v>25783</v>
      </c>
      <c r="B165" s="7">
        <v>81.519997000000004</v>
      </c>
    </row>
    <row r="166" spans="1:2" x14ac:dyDescent="0.25">
      <c r="A166" s="8">
        <v>25812</v>
      </c>
      <c r="B166" s="7">
        <v>84.300003000000004</v>
      </c>
    </row>
    <row r="167" spans="1:2" x14ac:dyDescent="0.25">
      <c r="A167" s="8">
        <v>25842</v>
      </c>
      <c r="B167" s="7">
        <v>83.25</v>
      </c>
    </row>
    <row r="168" spans="1:2" x14ac:dyDescent="0.25">
      <c r="A168" s="8">
        <v>25874</v>
      </c>
      <c r="B168" s="7">
        <v>87.199996999999996</v>
      </c>
    </row>
    <row r="169" spans="1:2" x14ac:dyDescent="0.25">
      <c r="A169" s="8">
        <v>25903</v>
      </c>
      <c r="B169" s="7">
        <v>92.150002000000001</v>
      </c>
    </row>
    <row r="170" spans="1:2" x14ac:dyDescent="0.25">
      <c r="A170" s="8">
        <v>25937</v>
      </c>
      <c r="B170" s="7">
        <v>95.879997000000003</v>
      </c>
    </row>
    <row r="171" spans="1:2" x14ac:dyDescent="0.25">
      <c r="A171" s="8">
        <v>25965</v>
      </c>
      <c r="B171" s="7">
        <v>96.75</v>
      </c>
    </row>
    <row r="172" spans="1:2" x14ac:dyDescent="0.25">
      <c r="A172" s="8">
        <v>25993</v>
      </c>
      <c r="B172" s="7">
        <v>100.30999799999999</v>
      </c>
    </row>
    <row r="173" spans="1:2" x14ac:dyDescent="0.25">
      <c r="A173" s="8">
        <v>26024</v>
      </c>
      <c r="B173" s="7">
        <v>103.949997</v>
      </c>
    </row>
    <row r="174" spans="1:2" x14ac:dyDescent="0.25">
      <c r="A174" s="8">
        <v>26056</v>
      </c>
      <c r="B174" s="7">
        <v>99.629997000000003</v>
      </c>
    </row>
    <row r="175" spans="1:2" x14ac:dyDescent="0.25">
      <c r="A175" s="8">
        <v>26085</v>
      </c>
      <c r="B175" s="7">
        <v>98.699996999999996</v>
      </c>
    </row>
    <row r="176" spans="1:2" x14ac:dyDescent="0.25">
      <c r="A176" s="8">
        <v>26115</v>
      </c>
      <c r="B176" s="7">
        <v>95.580001999999993</v>
      </c>
    </row>
    <row r="177" spans="1:2" x14ac:dyDescent="0.25">
      <c r="A177" s="8">
        <v>26147</v>
      </c>
      <c r="B177" s="7">
        <v>99.029999000000004</v>
      </c>
    </row>
    <row r="178" spans="1:2" x14ac:dyDescent="0.25">
      <c r="A178" s="8">
        <v>26177</v>
      </c>
      <c r="B178" s="7">
        <v>98.339995999999999</v>
      </c>
    </row>
    <row r="179" spans="1:2" x14ac:dyDescent="0.25">
      <c r="A179" s="8">
        <v>26207</v>
      </c>
      <c r="B179" s="7">
        <v>94.230002999999996</v>
      </c>
    </row>
    <row r="180" spans="1:2" x14ac:dyDescent="0.25">
      <c r="A180" s="8">
        <v>26238</v>
      </c>
      <c r="B180" s="7">
        <v>93.989998</v>
      </c>
    </row>
    <row r="181" spans="1:2" x14ac:dyDescent="0.25">
      <c r="A181" s="8">
        <v>26268</v>
      </c>
      <c r="B181" s="7">
        <v>102.089996</v>
      </c>
    </row>
    <row r="182" spans="1:2" x14ac:dyDescent="0.25">
      <c r="A182" s="8">
        <v>26301</v>
      </c>
      <c r="B182" s="7">
        <v>103.94000200000001</v>
      </c>
    </row>
    <row r="183" spans="1:2" x14ac:dyDescent="0.25">
      <c r="A183" s="8">
        <v>26330</v>
      </c>
      <c r="B183" s="7">
        <v>106.57</v>
      </c>
    </row>
    <row r="184" spans="1:2" x14ac:dyDescent="0.25">
      <c r="A184" s="8">
        <v>26359</v>
      </c>
      <c r="B184" s="7">
        <v>107.199997</v>
      </c>
    </row>
    <row r="185" spans="1:2" x14ac:dyDescent="0.25">
      <c r="A185" s="8">
        <v>26392</v>
      </c>
      <c r="B185" s="7">
        <v>107.66999800000001</v>
      </c>
    </row>
    <row r="186" spans="1:2" x14ac:dyDescent="0.25">
      <c r="A186" s="8">
        <v>26420</v>
      </c>
      <c r="B186" s="7">
        <v>109.529999</v>
      </c>
    </row>
    <row r="187" spans="1:2" x14ac:dyDescent="0.25">
      <c r="A187" s="8">
        <v>26451</v>
      </c>
      <c r="B187" s="7">
        <v>107.139999</v>
      </c>
    </row>
    <row r="188" spans="1:2" x14ac:dyDescent="0.25">
      <c r="A188" s="8">
        <v>26483</v>
      </c>
      <c r="B188" s="7">
        <v>107.389999</v>
      </c>
    </row>
    <row r="189" spans="1:2" x14ac:dyDescent="0.25">
      <c r="A189" s="8">
        <v>26512</v>
      </c>
      <c r="B189" s="7">
        <v>111.089996</v>
      </c>
    </row>
    <row r="190" spans="1:2" x14ac:dyDescent="0.25">
      <c r="A190" s="8">
        <v>26543</v>
      </c>
      <c r="B190" s="7">
        <v>110.550003</v>
      </c>
    </row>
    <row r="191" spans="1:2" x14ac:dyDescent="0.25">
      <c r="A191" s="8">
        <v>26574</v>
      </c>
      <c r="B191" s="7">
        <v>111.58000199999999</v>
      </c>
    </row>
    <row r="192" spans="1:2" x14ac:dyDescent="0.25">
      <c r="A192" s="8">
        <v>26604</v>
      </c>
      <c r="B192" s="7">
        <v>116.66999800000001</v>
      </c>
    </row>
    <row r="193" spans="1:2" x14ac:dyDescent="0.25">
      <c r="A193" s="8">
        <v>26634</v>
      </c>
      <c r="B193" s="7">
        <v>118.050003</v>
      </c>
    </row>
    <row r="194" spans="1:2" x14ac:dyDescent="0.25">
      <c r="A194" s="8">
        <v>26666</v>
      </c>
      <c r="B194" s="7">
        <v>116.029999</v>
      </c>
    </row>
    <row r="195" spans="1:2" x14ac:dyDescent="0.25">
      <c r="A195" s="8">
        <v>26696</v>
      </c>
      <c r="B195" s="7">
        <v>111.68</v>
      </c>
    </row>
    <row r="196" spans="1:2" x14ac:dyDescent="0.25">
      <c r="A196" s="8">
        <v>26724</v>
      </c>
      <c r="B196" s="7">
        <v>111.519997</v>
      </c>
    </row>
    <row r="197" spans="1:2" x14ac:dyDescent="0.25">
      <c r="A197" s="8">
        <v>26756</v>
      </c>
      <c r="B197" s="7">
        <v>106.970001</v>
      </c>
    </row>
    <row r="198" spans="1:2" x14ac:dyDescent="0.25">
      <c r="A198" s="8">
        <v>26785</v>
      </c>
      <c r="B198" s="7">
        <v>104.949997</v>
      </c>
    </row>
    <row r="199" spans="1:2" x14ac:dyDescent="0.25">
      <c r="A199" s="8">
        <v>26816</v>
      </c>
      <c r="B199" s="7">
        <v>104.260002</v>
      </c>
    </row>
    <row r="200" spans="1:2" x14ac:dyDescent="0.25">
      <c r="A200" s="8">
        <v>26847</v>
      </c>
      <c r="B200" s="7">
        <v>108.220001</v>
      </c>
    </row>
    <row r="201" spans="1:2" x14ac:dyDescent="0.25">
      <c r="A201" s="8">
        <v>26877</v>
      </c>
      <c r="B201" s="7">
        <v>104.25</v>
      </c>
    </row>
    <row r="202" spans="1:2" x14ac:dyDescent="0.25">
      <c r="A202" s="8">
        <v>26911</v>
      </c>
      <c r="B202" s="7">
        <v>108.43</v>
      </c>
    </row>
    <row r="203" spans="1:2" x14ac:dyDescent="0.25">
      <c r="A203" s="8">
        <v>26938</v>
      </c>
      <c r="B203" s="7">
        <v>108.290001</v>
      </c>
    </row>
    <row r="204" spans="1:2" x14ac:dyDescent="0.25">
      <c r="A204" s="8">
        <v>26969</v>
      </c>
      <c r="B204" s="7">
        <v>95.959998999999996</v>
      </c>
    </row>
    <row r="205" spans="1:2" x14ac:dyDescent="0.25">
      <c r="A205" s="8">
        <v>27001</v>
      </c>
      <c r="B205" s="7">
        <v>97.550003000000004</v>
      </c>
    </row>
    <row r="206" spans="1:2" x14ac:dyDescent="0.25">
      <c r="A206" s="8">
        <v>27031</v>
      </c>
      <c r="B206" s="7">
        <v>96.57</v>
      </c>
    </row>
    <row r="207" spans="1:2" x14ac:dyDescent="0.25">
      <c r="A207" s="8">
        <v>27061</v>
      </c>
      <c r="B207" s="7">
        <v>96.220000999999996</v>
      </c>
    </row>
    <row r="208" spans="1:2" x14ac:dyDescent="0.25">
      <c r="A208" s="8">
        <v>27089</v>
      </c>
      <c r="B208" s="7">
        <v>93.980002999999996</v>
      </c>
    </row>
    <row r="209" spans="1:2" x14ac:dyDescent="0.25">
      <c r="A209" s="8">
        <v>27120</v>
      </c>
      <c r="B209" s="7">
        <v>90.309997999999993</v>
      </c>
    </row>
    <row r="210" spans="1:2" x14ac:dyDescent="0.25">
      <c r="A210" s="8">
        <v>27150</v>
      </c>
      <c r="B210" s="7">
        <v>87.279999000000004</v>
      </c>
    </row>
    <row r="211" spans="1:2" x14ac:dyDescent="0.25">
      <c r="A211" s="8">
        <v>27183</v>
      </c>
      <c r="B211" s="7">
        <v>86</v>
      </c>
    </row>
    <row r="212" spans="1:2" x14ac:dyDescent="0.25">
      <c r="A212" s="8">
        <v>27211</v>
      </c>
      <c r="B212" s="7">
        <v>79.309997999999993</v>
      </c>
    </row>
    <row r="213" spans="1:2" x14ac:dyDescent="0.25">
      <c r="A213" s="8">
        <v>27242</v>
      </c>
      <c r="B213" s="7">
        <v>72.150002000000001</v>
      </c>
    </row>
    <row r="214" spans="1:2" x14ac:dyDescent="0.25">
      <c r="A214" s="8">
        <v>27275</v>
      </c>
      <c r="B214" s="7">
        <v>63.540000999999997</v>
      </c>
    </row>
    <row r="215" spans="1:2" x14ac:dyDescent="0.25">
      <c r="A215" s="8">
        <v>27303</v>
      </c>
      <c r="B215" s="7">
        <v>73.900002000000001</v>
      </c>
    </row>
    <row r="216" spans="1:2" x14ac:dyDescent="0.25">
      <c r="A216" s="8">
        <v>27334</v>
      </c>
      <c r="B216" s="7">
        <v>69.970000999999996</v>
      </c>
    </row>
    <row r="217" spans="1:2" x14ac:dyDescent="0.25">
      <c r="A217" s="8">
        <v>27365</v>
      </c>
      <c r="B217" s="7">
        <v>68.559997999999993</v>
      </c>
    </row>
    <row r="218" spans="1:2" x14ac:dyDescent="0.25">
      <c r="A218" s="8">
        <v>27396</v>
      </c>
      <c r="B218" s="7">
        <v>76.980002999999996</v>
      </c>
    </row>
    <row r="219" spans="1:2" x14ac:dyDescent="0.25">
      <c r="A219" s="8">
        <v>27428</v>
      </c>
      <c r="B219" s="7">
        <v>81.589995999999999</v>
      </c>
    </row>
    <row r="220" spans="1:2" x14ac:dyDescent="0.25">
      <c r="A220" s="8">
        <v>27456</v>
      </c>
      <c r="B220" s="7">
        <v>83.360000999999997</v>
      </c>
    </row>
    <row r="221" spans="1:2" x14ac:dyDescent="0.25">
      <c r="A221" s="8">
        <v>27485</v>
      </c>
      <c r="B221" s="7">
        <v>87.300003000000004</v>
      </c>
    </row>
    <row r="222" spans="1:2" x14ac:dyDescent="0.25">
      <c r="A222" s="8">
        <v>27515</v>
      </c>
      <c r="B222" s="7">
        <v>91.150002000000001</v>
      </c>
    </row>
    <row r="223" spans="1:2" x14ac:dyDescent="0.25">
      <c r="A223" s="8">
        <v>27547</v>
      </c>
      <c r="B223" s="7">
        <v>95.190002000000007</v>
      </c>
    </row>
    <row r="224" spans="1:2" x14ac:dyDescent="0.25">
      <c r="A224" s="8">
        <v>27576</v>
      </c>
      <c r="B224" s="7">
        <v>88.75</v>
      </c>
    </row>
    <row r="225" spans="1:2" x14ac:dyDescent="0.25">
      <c r="A225" s="8">
        <v>27607</v>
      </c>
      <c r="B225" s="7">
        <v>86.879997000000003</v>
      </c>
    </row>
    <row r="226" spans="1:2" x14ac:dyDescent="0.25">
      <c r="A226" s="8">
        <v>27639</v>
      </c>
      <c r="B226" s="7">
        <v>83.870002999999997</v>
      </c>
    </row>
    <row r="227" spans="1:2" x14ac:dyDescent="0.25">
      <c r="A227" s="8">
        <v>27668</v>
      </c>
      <c r="B227" s="7">
        <v>89.040001000000004</v>
      </c>
    </row>
    <row r="228" spans="1:2" x14ac:dyDescent="0.25">
      <c r="A228" s="8">
        <v>27701</v>
      </c>
      <c r="B228" s="7">
        <v>91.239998</v>
      </c>
    </row>
    <row r="229" spans="1:2" x14ac:dyDescent="0.25">
      <c r="A229" s="8">
        <v>27729</v>
      </c>
      <c r="B229" s="7">
        <v>90.190002000000007</v>
      </c>
    </row>
    <row r="230" spans="1:2" x14ac:dyDescent="0.25">
      <c r="A230" s="8">
        <v>27761</v>
      </c>
      <c r="B230" s="7">
        <v>100.860001</v>
      </c>
    </row>
    <row r="231" spans="1:2" x14ac:dyDescent="0.25">
      <c r="A231" s="8">
        <v>27792</v>
      </c>
      <c r="B231" s="7">
        <v>99.709998999999996</v>
      </c>
    </row>
    <row r="232" spans="1:2" x14ac:dyDescent="0.25">
      <c r="A232" s="8">
        <v>27820</v>
      </c>
      <c r="B232" s="7">
        <v>102.769997</v>
      </c>
    </row>
    <row r="233" spans="1:2" x14ac:dyDescent="0.25">
      <c r="A233" s="8">
        <v>27851</v>
      </c>
      <c r="B233" s="7">
        <v>101.639999</v>
      </c>
    </row>
    <row r="234" spans="1:2" x14ac:dyDescent="0.25">
      <c r="A234" s="8">
        <v>27883</v>
      </c>
      <c r="B234" s="7">
        <v>100.18</v>
      </c>
    </row>
    <row r="235" spans="1:2" x14ac:dyDescent="0.25">
      <c r="A235" s="8">
        <v>27912</v>
      </c>
      <c r="B235" s="7">
        <v>104.279999</v>
      </c>
    </row>
    <row r="236" spans="1:2" x14ac:dyDescent="0.25">
      <c r="A236" s="8">
        <v>27942</v>
      </c>
      <c r="B236" s="7">
        <v>103.44000200000001</v>
      </c>
    </row>
    <row r="237" spans="1:2" x14ac:dyDescent="0.25">
      <c r="A237" s="8">
        <v>27974</v>
      </c>
      <c r="B237" s="7">
        <v>102.910004</v>
      </c>
    </row>
    <row r="238" spans="1:2" x14ac:dyDescent="0.25">
      <c r="A238" s="8">
        <v>28004</v>
      </c>
      <c r="B238" s="7">
        <v>105.239998</v>
      </c>
    </row>
    <row r="239" spans="1:2" x14ac:dyDescent="0.25">
      <c r="A239" s="8">
        <v>28034</v>
      </c>
      <c r="B239" s="7">
        <v>102.900002</v>
      </c>
    </row>
    <row r="240" spans="1:2" x14ac:dyDescent="0.25">
      <c r="A240" s="8">
        <v>28065</v>
      </c>
      <c r="B240" s="7">
        <v>102.099998</v>
      </c>
    </row>
    <row r="241" spans="1:2" x14ac:dyDescent="0.25">
      <c r="A241" s="8">
        <v>28095</v>
      </c>
      <c r="B241" s="7">
        <v>107.459999</v>
      </c>
    </row>
    <row r="242" spans="1:2" x14ac:dyDescent="0.25">
      <c r="A242" s="8">
        <v>28128</v>
      </c>
      <c r="B242" s="7">
        <v>102.029999</v>
      </c>
    </row>
    <row r="243" spans="1:2" x14ac:dyDescent="0.25">
      <c r="A243" s="8">
        <v>28157</v>
      </c>
      <c r="B243" s="7">
        <v>99.82</v>
      </c>
    </row>
    <row r="244" spans="1:2" x14ac:dyDescent="0.25">
      <c r="A244" s="8">
        <v>28185</v>
      </c>
      <c r="B244" s="7">
        <v>98.419998000000007</v>
      </c>
    </row>
    <row r="245" spans="1:2" x14ac:dyDescent="0.25">
      <c r="A245" s="8">
        <v>28216</v>
      </c>
      <c r="B245" s="7">
        <v>98.440002000000007</v>
      </c>
    </row>
    <row r="246" spans="1:2" x14ac:dyDescent="0.25">
      <c r="A246" s="8">
        <v>28247</v>
      </c>
      <c r="B246" s="7">
        <v>96.120002999999997</v>
      </c>
    </row>
    <row r="247" spans="1:2" x14ac:dyDescent="0.25">
      <c r="A247" s="8">
        <v>28277</v>
      </c>
      <c r="B247" s="7">
        <v>100.480003</v>
      </c>
    </row>
    <row r="248" spans="1:2" x14ac:dyDescent="0.25">
      <c r="A248" s="8">
        <v>28307</v>
      </c>
      <c r="B248" s="7">
        <v>98.849997999999999</v>
      </c>
    </row>
    <row r="249" spans="1:2" x14ac:dyDescent="0.25">
      <c r="A249" s="8">
        <v>28338</v>
      </c>
      <c r="B249" s="7">
        <v>96.769997000000004</v>
      </c>
    </row>
    <row r="250" spans="1:2" x14ac:dyDescent="0.25">
      <c r="A250" s="8">
        <v>28369</v>
      </c>
      <c r="B250" s="7">
        <v>96.529999000000004</v>
      </c>
    </row>
    <row r="251" spans="1:2" x14ac:dyDescent="0.25">
      <c r="A251" s="8">
        <v>28401</v>
      </c>
      <c r="B251" s="7">
        <v>92.339995999999999</v>
      </c>
    </row>
    <row r="252" spans="1:2" x14ac:dyDescent="0.25">
      <c r="A252" s="8">
        <v>28430</v>
      </c>
      <c r="B252" s="7">
        <v>94.830001999999993</v>
      </c>
    </row>
    <row r="253" spans="1:2" x14ac:dyDescent="0.25">
      <c r="A253" s="8">
        <v>28460</v>
      </c>
      <c r="B253" s="7">
        <v>95.099997999999999</v>
      </c>
    </row>
    <row r="254" spans="1:2" x14ac:dyDescent="0.25">
      <c r="A254" s="8">
        <v>28493</v>
      </c>
      <c r="B254" s="7">
        <v>89.25</v>
      </c>
    </row>
    <row r="255" spans="1:2" x14ac:dyDescent="0.25">
      <c r="A255" s="8">
        <v>28522</v>
      </c>
      <c r="B255" s="7">
        <v>87.040001000000004</v>
      </c>
    </row>
    <row r="256" spans="1:2" x14ac:dyDescent="0.25">
      <c r="A256" s="8">
        <v>28550</v>
      </c>
      <c r="B256" s="7">
        <v>89.209998999999996</v>
      </c>
    </row>
    <row r="257" spans="1:2" x14ac:dyDescent="0.25">
      <c r="A257" s="8">
        <v>28583</v>
      </c>
      <c r="B257" s="7">
        <v>96.830001999999993</v>
      </c>
    </row>
    <row r="258" spans="1:2" x14ac:dyDescent="0.25">
      <c r="A258" s="8">
        <v>28611</v>
      </c>
      <c r="B258" s="7">
        <v>97.239998</v>
      </c>
    </row>
    <row r="259" spans="1:2" x14ac:dyDescent="0.25">
      <c r="A259" s="8">
        <v>28642</v>
      </c>
      <c r="B259" s="7">
        <v>95.529999000000004</v>
      </c>
    </row>
    <row r="260" spans="1:2" x14ac:dyDescent="0.25">
      <c r="A260" s="8">
        <v>28674</v>
      </c>
      <c r="B260" s="7">
        <v>100.68</v>
      </c>
    </row>
    <row r="261" spans="1:2" x14ac:dyDescent="0.25">
      <c r="A261" s="8">
        <v>28703</v>
      </c>
      <c r="B261" s="7">
        <v>103.290001</v>
      </c>
    </row>
    <row r="262" spans="1:2" x14ac:dyDescent="0.25">
      <c r="A262" s="8">
        <v>28734</v>
      </c>
      <c r="B262" s="7">
        <v>102.540001</v>
      </c>
    </row>
    <row r="263" spans="1:2" x14ac:dyDescent="0.25">
      <c r="A263" s="8">
        <v>28765</v>
      </c>
      <c r="B263" s="7">
        <v>93.150002000000001</v>
      </c>
    </row>
    <row r="264" spans="1:2" x14ac:dyDescent="0.25">
      <c r="A264" s="8">
        <v>28795</v>
      </c>
      <c r="B264" s="7">
        <v>94.699996999999996</v>
      </c>
    </row>
    <row r="265" spans="1:2" x14ac:dyDescent="0.25">
      <c r="A265" s="8">
        <v>28825</v>
      </c>
      <c r="B265" s="7">
        <v>96.110000999999997</v>
      </c>
    </row>
    <row r="266" spans="1:2" x14ac:dyDescent="0.25">
      <c r="A266" s="8">
        <v>28857</v>
      </c>
      <c r="B266" s="7">
        <v>99.93</v>
      </c>
    </row>
    <row r="267" spans="1:2" x14ac:dyDescent="0.25">
      <c r="A267" s="8">
        <v>28887</v>
      </c>
      <c r="B267" s="7">
        <v>96.279999000000004</v>
      </c>
    </row>
    <row r="268" spans="1:2" x14ac:dyDescent="0.25">
      <c r="A268" s="8">
        <v>28915</v>
      </c>
      <c r="B268" s="7">
        <v>101.589996</v>
      </c>
    </row>
    <row r="269" spans="1:2" x14ac:dyDescent="0.25">
      <c r="A269" s="8">
        <v>28947</v>
      </c>
      <c r="B269" s="7">
        <v>101.760002</v>
      </c>
    </row>
    <row r="270" spans="1:2" x14ac:dyDescent="0.25">
      <c r="A270" s="8">
        <v>28976</v>
      </c>
      <c r="B270" s="7">
        <v>99.080001999999993</v>
      </c>
    </row>
    <row r="271" spans="1:2" x14ac:dyDescent="0.25">
      <c r="A271" s="8">
        <v>29007</v>
      </c>
      <c r="B271" s="7">
        <v>102.910004</v>
      </c>
    </row>
    <row r="272" spans="1:2" x14ac:dyDescent="0.25">
      <c r="A272" s="8">
        <v>29038</v>
      </c>
      <c r="B272" s="7">
        <v>103.80999799999999</v>
      </c>
    </row>
    <row r="273" spans="1:2" x14ac:dyDescent="0.25">
      <c r="A273" s="8">
        <v>29068</v>
      </c>
      <c r="B273" s="7">
        <v>109.32</v>
      </c>
    </row>
    <row r="274" spans="1:2" x14ac:dyDescent="0.25">
      <c r="A274" s="8">
        <v>29102</v>
      </c>
      <c r="B274" s="7">
        <v>109.32</v>
      </c>
    </row>
    <row r="275" spans="1:2" x14ac:dyDescent="0.25">
      <c r="A275" s="8">
        <v>29129</v>
      </c>
      <c r="B275" s="7">
        <v>101.82</v>
      </c>
    </row>
    <row r="276" spans="1:2" x14ac:dyDescent="0.25">
      <c r="A276" s="8">
        <v>29160</v>
      </c>
      <c r="B276" s="7">
        <v>106.160004</v>
      </c>
    </row>
    <row r="277" spans="1:2" x14ac:dyDescent="0.25">
      <c r="A277" s="8">
        <v>29192</v>
      </c>
      <c r="B277" s="7">
        <v>107.94000200000001</v>
      </c>
    </row>
    <row r="278" spans="1:2" x14ac:dyDescent="0.25">
      <c r="A278" s="8">
        <v>29222</v>
      </c>
      <c r="B278" s="7">
        <v>114.160004</v>
      </c>
    </row>
    <row r="279" spans="1:2" x14ac:dyDescent="0.25">
      <c r="A279" s="8">
        <v>29252</v>
      </c>
      <c r="B279" s="7">
        <v>113.660004</v>
      </c>
    </row>
    <row r="280" spans="1:2" x14ac:dyDescent="0.25">
      <c r="A280" s="8">
        <v>29283</v>
      </c>
      <c r="B280" s="7">
        <v>102.089996</v>
      </c>
    </row>
    <row r="281" spans="1:2" x14ac:dyDescent="0.25">
      <c r="A281" s="8">
        <v>29312</v>
      </c>
      <c r="B281" s="7">
        <v>106.290001</v>
      </c>
    </row>
    <row r="282" spans="1:2" x14ac:dyDescent="0.25">
      <c r="A282" s="8">
        <v>29342</v>
      </c>
      <c r="B282" s="7">
        <v>111.239998</v>
      </c>
    </row>
    <row r="283" spans="1:2" x14ac:dyDescent="0.25">
      <c r="A283" s="8">
        <v>29374</v>
      </c>
      <c r="B283" s="7">
        <v>114.239998</v>
      </c>
    </row>
    <row r="284" spans="1:2" x14ac:dyDescent="0.25">
      <c r="A284" s="8">
        <v>29403</v>
      </c>
      <c r="B284" s="7">
        <v>121.66999800000001</v>
      </c>
    </row>
    <row r="285" spans="1:2" x14ac:dyDescent="0.25">
      <c r="A285" s="8">
        <v>29434</v>
      </c>
      <c r="B285" s="7">
        <v>122.379997</v>
      </c>
    </row>
    <row r="286" spans="1:2" x14ac:dyDescent="0.25">
      <c r="A286" s="8">
        <v>29466</v>
      </c>
      <c r="B286" s="7">
        <v>125.459999</v>
      </c>
    </row>
    <row r="287" spans="1:2" x14ac:dyDescent="0.25">
      <c r="A287" s="8">
        <v>29495</v>
      </c>
      <c r="B287" s="7">
        <v>127.470001</v>
      </c>
    </row>
    <row r="288" spans="1:2" x14ac:dyDescent="0.25">
      <c r="A288" s="8">
        <v>29528</v>
      </c>
      <c r="B288" s="7">
        <v>140.520004</v>
      </c>
    </row>
    <row r="289" spans="1:2" x14ac:dyDescent="0.25">
      <c r="A289" s="8">
        <v>29556</v>
      </c>
      <c r="B289" s="7">
        <v>135.759995</v>
      </c>
    </row>
    <row r="290" spans="1:2" x14ac:dyDescent="0.25">
      <c r="A290" s="8">
        <v>29588</v>
      </c>
      <c r="B290" s="7">
        <v>129.550003</v>
      </c>
    </row>
    <row r="291" spans="1:2" x14ac:dyDescent="0.25">
      <c r="A291" s="8">
        <v>29619</v>
      </c>
      <c r="B291" s="7">
        <v>131.270004</v>
      </c>
    </row>
    <row r="292" spans="1:2" x14ac:dyDescent="0.25">
      <c r="A292" s="8">
        <v>29647</v>
      </c>
      <c r="B292" s="7">
        <v>136</v>
      </c>
    </row>
    <row r="293" spans="1:2" x14ac:dyDescent="0.25">
      <c r="A293" s="8">
        <v>29677</v>
      </c>
      <c r="B293" s="7">
        <v>132.80999800000001</v>
      </c>
    </row>
    <row r="294" spans="1:2" x14ac:dyDescent="0.25">
      <c r="A294" s="8">
        <v>29707</v>
      </c>
      <c r="B294" s="7">
        <v>132.58999600000001</v>
      </c>
    </row>
    <row r="295" spans="1:2" x14ac:dyDescent="0.25">
      <c r="A295" s="8">
        <v>29738</v>
      </c>
      <c r="B295" s="7">
        <v>131.21000699999999</v>
      </c>
    </row>
    <row r="296" spans="1:2" x14ac:dyDescent="0.25">
      <c r="A296" s="8">
        <v>29768</v>
      </c>
      <c r="B296" s="7">
        <v>130.91999799999999</v>
      </c>
    </row>
    <row r="297" spans="1:2" x14ac:dyDescent="0.25">
      <c r="A297" s="8">
        <v>29801</v>
      </c>
      <c r="B297" s="7">
        <v>122.790001</v>
      </c>
    </row>
    <row r="298" spans="1:2" x14ac:dyDescent="0.25">
      <c r="A298" s="8">
        <v>29830</v>
      </c>
      <c r="B298" s="7">
        <v>116.18</v>
      </c>
    </row>
    <row r="299" spans="1:2" x14ac:dyDescent="0.25">
      <c r="A299" s="8">
        <v>29860</v>
      </c>
      <c r="B299" s="7">
        <v>121.889999</v>
      </c>
    </row>
    <row r="300" spans="1:2" x14ac:dyDescent="0.25">
      <c r="A300" s="8">
        <v>29892</v>
      </c>
      <c r="B300" s="7">
        <v>126.349998</v>
      </c>
    </row>
    <row r="301" spans="1:2" x14ac:dyDescent="0.25">
      <c r="A301" s="8">
        <v>29921</v>
      </c>
      <c r="B301" s="7">
        <v>122.550003</v>
      </c>
    </row>
    <row r="302" spans="1:2" x14ac:dyDescent="0.25">
      <c r="A302" s="8">
        <v>29955</v>
      </c>
      <c r="B302" s="7">
        <v>120.400002</v>
      </c>
    </row>
    <row r="303" spans="1:2" x14ac:dyDescent="0.25">
      <c r="A303" s="8">
        <v>29983</v>
      </c>
      <c r="B303" s="7">
        <v>113.110001</v>
      </c>
    </row>
    <row r="304" spans="1:2" x14ac:dyDescent="0.25">
      <c r="A304" s="8">
        <v>30011</v>
      </c>
      <c r="B304" s="7">
        <v>111.959999</v>
      </c>
    </row>
    <row r="305" spans="1:2" x14ac:dyDescent="0.25">
      <c r="A305" s="8">
        <v>30042</v>
      </c>
      <c r="B305" s="7">
        <v>116.44000200000001</v>
      </c>
    </row>
    <row r="306" spans="1:2" x14ac:dyDescent="0.25">
      <c r="A306" s="8">
        <v>30074</v>
      </c>
      <c r="B306" s="7">
        <v>111.879997</v>
      </c>
    </row>
    <row r="307" spans="1:2" x14ac:dyDescent="0.25">
      <c r="A307" s="8">
        <v>30103</v>
      </c>
      <c r="B307" s="7">
        <v>109.610001</v>
      </c>
    </row>
    <row r="308" spans="1:2" x14ac:dyDescent="0.25">
      <c r="A308" s="8">
        <v>30133</v>
      </c>
      <c r="B308" s="7">
        <v>107.089996</v>
      </c>
    </row>
    <row r="309" spans="1:2" x14ac:dyDescent="0.25">
      <c r="A309" s="8">
        <v>30165</v>
      </c>
      <c r="B309" s="7">
        <v>119.510002</v>
      </c>
    </row>
    <row r="310" spans="1:2" x14ac:dyDescent="0.25">
      <c r="A310" s="8">
        <v>30195</v>
      </c>
      <c r="B310" s="7">
        <v>120.41999800000001</v>
      </c>
    </row>
    <row r="311" spans="1:2" x14ac:dyDescent="0.25">
      <c r="A311" s="8">
        <v>30225</v>
      </c>
      <c r="B311" s="7">
        <v>133.720001</v>
      </c>
    </row>
    <row r="312" spans="1:2" x14ac:dyDescent="0.25">
      <c r="A312" s="8">
        <v>30256</v>
      </c>
      <c r="B312" s="7">
        <v>138.529999</v>
      </c>
    </row>
    <row r="313" spans="1:2" x14ac:dyDescent="0.25">
      <c r="A313" s="8">
        <v>30286</v>
      </c>
      <c r="B313" s="7">
        <v>140.63999899999999</v>
      </c>
    </row>
    <row r="314" spans="1:2" x14ac:dyDescent="0.25">
      <c r="A314" s="8">
        <v>30319</v>
      </c>
      <c r="B314" s="7">
        <v>145.300003</v>
      </c>
    </row>
    <row r="315" spans="1:2" x14ac:dyDescent="0.25">
      <c r="A315" s="8">
        <v>30348</v>
      </c>
      <c r="B315" s="7">
        <v>148.05999800000001</v>
      </c>
    </row>
    <row r="316" spans="1:2" x14ac:dyDescent="0.25">
      <c r="A316" s="8">
        <v>30376</v>
      </c>
      <c r="B316" s="7">
        <v>152.96000699999999</v>
      </c>
    </row>
    <row r="317" spans="1:2" x14ac:dyDescent="0.25">
      <c r="A317" s="8">
        <v>30410</v>
      </c>
      <c r="B317" s="7">
        <v>164.429993</v>
      </c>
    </row>
    <row r="318" spans="1:2" x14ac:dyDescent="0.25">
      <c r="A318" s="8">
        <v>30438</v>
      </c>
      <c r="B318" s="7">
        <v>162.38999899999999</v>
      </c>
    </row>
    <row r="319" spans="1:2" x14ac:dyDescent="0.25">
      <c r="A319" s="8">
        <v>30468</v>
      </c>
      <c r="B319" s="7">
        <v>167.63999899999999</v>
      </c>
    </row>
    <row r="320" spans="1:2" x14ac:dyDescent="0.25">
      <c r="A320" s="8">
        <v>30498</v>
      </c>
      <c r="B320" s="7">
        <v>162.55999800000001</v>
      </c>
    </row>
    <row r="321" spans="1:2" x14ac:dyDescent="0.25">
      <c r="A321" s="8">
        <v>30529</v>
      </c>
      <c r="B321" s="7">
        <v>164.39999399999999</v>
      </c>
    </row>
    <row r="322" spans="1:2" x14ac:dyDescent="0.25">
      <c r="A322" s="8">
        <v>30560</v>
      </c>
      <c r="B322" s="7">
        <v>166.070007</v>
      </c>
    </row>
    <row r="323" spans="1:2" x14ac:dyDescent="0.25">
      <c r="A323" s="8">
        <v>30592</v>
      </c>
      <c r="B323" s="7">
        <v>163.550003</v>
      </c>
    </row>
    <row r="324" spans="1:2" x14ac:dyDescent="0.25">
      <c r="A324" s="8">
        <v>30621</v>
      </c>
      <c r="B324" s="7">
        <v>166.39999399999999</v>
      </c>
    </row>
    <row r="325" spans="1:2" x14ac:dyDescent="0.25">
      <c r="A325" s="8">
        <v>30651</v>
      </c>
      <c r="B325" s="7">
        <v>164.929993</v>
      </c>
    </row>
    <row r="326" spans="1:2" x14ac:dyDescent="0.25">
      <c r="A326" s="8">
        <v>30684</v>
      </c>
      <c r="B326" s="7">
        <v>163.41000399999999</v>
      </c>
    </row>
    <row r="327" spans="1:2" x14ac:dyDescent="0.25">
      <c r="A327" s="8">
        <v>30713</v>
      </c>
      <c r="B327" s="7">
        <v>157.05999800000001</v>
      </c>
    </row>
    <row r="328" spans="1:2" x14ac:dyDescent="0.25">
      <c r="A328" s="8">
        <v>30742</v>
      </c>
      <c r="B328" s="7">
        <v>159.179993</v>
      </c>
    </row>
    <row r="329" spans="1:2" x14ac:dyDescent="0.25">
      <c r="A329" s="8">
        <v>30774</v>
      </c>
      <c r="B329" s="7">
        <v>160.050003</v>
      </c>
    </row>
    <row r="330" spans="1:2" x14ac:dyDescent="0.25">
      <c r="A330" s="8">
        <v>30803</v>
      </c>
      <c r="B330" s="7">
        <v>150.550003</v>
      </c>
    </row>
    <row r="331" spans="1:2" x14ac:dyDescent="0.25">
      <c r="A331" s="8">
        <v>30834</v>
      </c>
      <c r="B331" s="7">
        <v>153.179993</v>
      </c>
    </row>
    <row r="332" spans="1:2" x14ac:dyDescent="0.25">
      <c r="A332" s="8">
        <v>30865</v>
      </c>
      <c r="B332" s="7">
        <v>150.66000399999999</v>
      </c>
    </row>
    <row r="333" spans="1:2" x14ac:dyDescent="0.25">
      <c r="A333" s="8">
        <v>30895</v>
      </c>
      <c r="B333" s="7">
        <v>166.679993</v>
      </c>
    </row>
    <row r="334" spans="1:2" x14ac:dyDescent="0.25">
      <c r="A334" s="8">
        <v>30929</v>
      </c>
      <c r="B334" s="7">
        <v>166.10000600000001</v>
      </c>
    </row>
    <row r="335" spans="1:2" x14ac:dyDescent="0.25">
      <c r="A335" s="8">
        <v>30956</v>
      </c>
      <c r="B335" s="7">
        <v>166.08999600000001</v>
      </c>
    </row>
    <row r="336" spans="1:2" x14ac:dyDescent="0.25">
      <c r="A336" s="8">
        <v>30987</v>
      </c>
      <c r="B336" s="7">
        <v>163.58000200000001</v>
      </c>
    </row>
    <row r="337" spans="1:2" x14ac:dyDescent="0.25">
      <c r="A337" s="8">
        <v>31019</v>
      </c>
      <c r="B337" s="7">
        <v>167.240005</v>
      </c>
    </row>
    <row r="338" spans="1:2" x14ac:dyDescent="0.25">
      <c r="A338" s="8">
        <v>31049</v>
      </c>
      <c r="B338" s="7">
        <v>179.63000500000001</v>
      </c>
    </row>
    <row r="339" spans="1:2" x14ac:dyDescent="0.25">
      <c r="A339" s="8">
        <v>31079</v>
      </c>
      <c r="B339" s="7">
        <v>181.179993</v>
      </c>
    </row>
    <row r="340" spans="1:2" x14ac:dyDescent="0.25">
      <c r="A340" s="8">
        <v>31107</v>
      </c>
      <c r="B340" s="7">
        <v>180.66000399999999</v>
      </c>
    </row>
    <row r="341" spans="1:2" x14ac:dyDescent="0.25">
      <c r="A341" s="8">
        <v>31138</v>
      </c>
      <c r="B341" s="7">
        <v>179.83000200000001</v>
      </c>
    </row>
    <row r="342" spans="1:2" x14ac:dyDescent="0.25">
      <c r="A342" s="8">
        <v>31168</v>
      </c>
      <c r="B342" s="7">
        <v>189.550003</v>
      </c>
    </row>
    <row r="343" spans="1:2" x14ac:dyDescent="0.25">
      <c r="A343" s="8">
        <v>31201</v>
      </c>
      <c r="B343" s="7">
        <v>191.85000600000001</v>
      </c>
    </row>
    <row r="344" spans="1:2" x14ac:dyDescent="0.25">
      <c r="A344" s="8">
        <v>31229</v>
      </c>
      <c r="B344" s="7">
        <v>190.91999799999999</v>
      </c>
    </row>
    <row r="345" spans="1:2" x14ac:dyDescent="0.25">
      <c r="A345" s="8">
        <v>31260</v>
      </c>
      <c r="B345" s="7">
        <v>188.63000500000001</v>
      </c>
    </row>
    <row r="346" spans="1:2" x14ac:dyDescent="0.25">
      <c r="A346" s="8">
        <v>31293</v>
      </c>
      <c r="B346" s="7">
        <v>182.08000200000001</v>
      </c>
    </row>
    <row r="347" spans="1:2" x14ac:dyDescent="0.25">
      <c r="A347" s="8">
        <v>31321</v>
      </c>
      <c r="B347" s="7">
        <v>189.820007</v>
      </c>
    </row>
    <row r="348" spans="1:2" x14ac:dyDescent="0.25">
      <c r="A348" s="8">
        <v>31352</v>
      </c>
      <c r="B348" s="7">
        <v>202.16999799999999</v>
      </c>
    </row>
    <row r="349" spans="1:2" x14ac:dyDescent="0.25">
      <c r="A349" s="8">
        <v>31383</v>
      </c>
      <c r="B349" s="7">
        <v>211.279999</v>
      </c>
    </row>
    <row r="350" spans="1:2" x14ac:dyDescent="0.25">
      <c r="A350" s="8">
        <v>31414</v>
      </c>
      <c r="B350" s="7">
        <v>211.779999</v>
      </c>
    </row>
    <row r="351" spans="1:2" x14ac:dyDescent="0.25">
      <c r="A351" s="8">
        <v>31446</v>
      </c>
      <c r="B351" s="7">
        <v>226.91999799999999</v>
      </c>
    </row>
    <row r="352" spans="1:2" x14ac:dyDescent="0.25">
      <c r="A352" s="8">
        <v>31474</v>
      </c>
      <c r="B352" s="7">
        <v>238.89999399999999</v>
      </c>
    </row>
    <row r="353" spans="1:2" x14ac:dyDescent="0.25">
      <c r="A353" s="8">
        <v>31503</v>
      </c>
      <c r="B353" s="7">
        <v>235.520004</v>
      </c>
    </row>
    <row r="354" spans="1:2" x14ac:dyDescent="0.25">
      <c r="A354" s="8">
        <v>31533</v>
      </c>
      <c r="B354" s="7">
        <v>247.35000600000001</v>
      </c>
    </row>
    <row r="355" spans="1:2" x14ac:dyDescent="0.25">
      <c r="A355" s="8">
        <v>31565</v>
      </c>
      <c r="B355" s="7">
        <v>250.83999600000001</v>
      </c>
    </row>
    <row r="356" spans="1:2" x14ac:dyDescent="0.25">
      <c r="A356" s="8">
        <v>31594</v>
      </c>
      <c r="B356" s="7">
        <v>236.11999499999999</v>
      </c>
    </row>
    <row r="357" spans="1:2" x14ac:dyDescent="0.25">
      <c r="A357" s="8">
        <v>31625</v>
      </c>
      <c r="B357" s="7">
        <v>252.929993</v>
      </c>
    </row>
    <row r="358" spans="1:2" x14ac:dyDescent="0.25">
      <c r="A358" s="8">
        <v>31657</v>
      </c>
      <c r="B358" s="7">
        <v>231.320007</v>
      </c>
    </row>
    <row r="359" spans="1:2" x14ac:dyDescent="0.25">
      <c r="A359" s="8">
        <v>31686</v>
      </c>
      <c r="B359" s="7">
        <v>243.979996</v>
      </c>
    </row>
    <row r="360" spans="1:2" x14ac:dyDescent="0.25">
      <c r="A360" s="8">
        <v>31719</v>
      </c>
      <c r="B360" s="7">
        <v>249.220001</v>
      </c>
    </row>
    <row r="361" spans="1:2" x14ac:dyDescent="0.25">
      <c r="A361" s="8">
        <v>31747</v>
      </c>
      <c r="B361" s="7">
        <v>242.16999799999999</v>
      </c>
    </row>
    <row r="362" spans="1:2" x14ac:dyDescent="0.25">
      <c r="A362" s="8">
        <v>31779</v>
      </c>
      <c r="B362" s="7">
        <v>274.07998700000002</v>
      </c>
    </row>
    <row r="363" spans="1:2" x14ac:dyDescent="0.25">
      <c r="A363" s="8">
        <v>31810</v>
      </c>
      <c r="B363" s="7">
        <v>284.20001200000002</v>
      </c>
    </row>
    <row r="364" spans="1:2" x14ac:dyDescent="0.25">
      <c r="A364" s="8">
        <v>31838</v>
      </c>
      <c r="B364" s="7">
        <v>291.70001200000002</v>
      </c>
    </row>
    <row r="365" spans="1:2" x14ac:dyDescent="0.25">
      <c r="A365" s="8">
        <v>31868</v>
      </c>
      <c r="B365" s="7">
        <v>288.35998499999999</v>
      </c>
    </row>
    <row r="366" spans="1:2" x14ac:dyDescent="0.25">
      <c r="A366" s="8">
        <v>31898</v>
      </c>
      <c r="B366" s="7">
        <v>290.10000600000001</v>
      </c>
    </row>
    <row r="367" spans="1:2" x14ac:dyDescent="0.25">
      <c r="A367" s="8">
        <v>31929</v>
      </c>
      <c r="B367" s="7">
        <v>304</v>
      </c>
    </row>
    <row r="368" spans="1:2" x14ac:dyDescent="0.25">
      <c r="A368" s="8">
        <v>31959</v>
      </c>
      <c r="B368" s="7">
        <v>318.66000400000001</v>
      </c>
    </row>
    <row r="369" spans="1:2" x14ac:dyDescent="0.25">
      <c r="A369" s="8">
        <v>31992</v>
      </c>
      <c r="B369" s="7">
        <v>329.79998799999998</v>
      </c>
    </row>
    <row r="370" spans="1:2" x14ac:dyDescent="0.25">
      <c r="A370" s="8">
        <v>32021</v>
      </c>
      <c r="B370" s="7">
        <v>321.82998700000002</v>
      </c>
    </row>
    <row r="371" spans="1:2" x14ac:dyDescent="0.25">
      <c r="A371" s="8">
        <v>32051</v>
      </c>
      <c r="B371" s="7">
        <v>251.78999300000001</v>
      </c>
    </row>
    <row r="372" spans="1:2" x14ac:dyDescent="0.25">
      <c r="A372" s="8">
        <v>32083</v>
      </c>
      <c r="B372" s="7">
        <v>230.300003</v>
      </c>
    </row>
    <row r="373" spans="1:2" x14ac:dyDescent="0.25">
      <c r="A373" s="8">
        <v>32112</v>
      </c>
      <c r="B373" s="7">
        <v>247.08000200000001</v>
      </c>
    </row>
    <row r="374" spans="1:2" x14ac:dyDescent="0.25">
      <c r="A374" s="8">
        <v>32146</v>
      </c>
      <c r="B374" s="7">
        <v>257.07000699999998</v>
      </c>
    </row>
    <row r="375" spans="1:2" x14ac:dyDescent="0.25">
      <c r="A375" s="8">
        <v>32174</v>
      </c>
      <c r="B375" s="7">
        <v>267.82000699999998</v>
      </c>
    </row>
    <row r="376" spans="1:2" x14ac:dyDescent="0.25">
      <c r="A376" s="8">
        <v>32203</v>
      </c>
      <c r="B376" s="7">
        <v>258.89001500000001</v>
      </c>
    </row>
    <row r="377" spans="1:2" x14ac:dyDescent="0.25">
      <c r="A377" s="8">
        <v>32237</v>
      </c>
      <c r="B377" s="7">
        <v>261.32998700000002</v>
      </c>
    </row>
    <row r="378" spans="1:2" x14ac:dyDescent="0.25">
      <c r="A378" s="8">
        <v>32265</v>
      </c>
      <c r="B378" s="7">
        <v>262.16000400000001</v>
      </c>
    </row>
    <row r="379" spans="1:2" x14ac:dyDescent="0.25">
      <c r="A379" s="8">
        <v>32295</v>
      </c>
      <c r="B379" s="7">
        <v>273.5</v>
      </c>
    </row>
    <row r="380" spans="1:2" x14ac:dyDescent="0.25">
      <c r="A380" s="8">
        <v>32325</v>
      </c>
      <c r="B380" s="7">
        <v>272.01998900000001</v>
      </c>
    </row>
    <row r="381" spans="1:2" x14ac:dyDescent="0.25">
      <c r="A381" s="8">
        <v>32356</v>
      </c>
      <c r="B381" s="7">
        <v>261.51998900000001</v>
      </c>
    </row>
    <row r="382" spans="1:2" x14ac:dyDescent="0.25">
      <c r="A382" s="8">
        <v>32387</v>
      </c>
      <c r="B382" s="7">
        <v>271.91000400000001</v>
      </c>
    </row>
    <row r="383" spans="1:2" x14ac:dyDescent="0.25">
      <c r="A383" s="8">
        <v>32419</v>
      </c>
      <c r="B383" s="7">
        <v>278.97000100000002</v>
      </c>
    </row>
    <row r="384" spans="1:2" x14ac:dyDescent="0.25">
      <c r="A384" s="8">
        <v>32448</v>
      </c>
      <c r="B384" s="7">
        <v>273.70001200000002</v>
      </c>
    </row>
    <row r="385" spans="1:2" x14ac:dyDescent="0.25">
      <c r="A385" s="8">
        <v>32478</v>
      </c>
      <c r="B385" s="7">
        <v>277.72000100000002</v>
      </c>
    </row>
    <row r="386" spans="1:2" x14ac:dyDescent="0.25">
      <c r="A386" s="8">
        <v>32511</v>
      </c>
      <c r="B386" s="7">
        <v>297.47000100000002</v>
      </c>
    </row>
    <row r="387" spans="1:2" x14ac:dyDescent="0.25">
      <c r="A387" s="8">
        <v>32540</v>
      </c>
      <c r="B387" s="7">
        <v>288.85998499999999</v>
      </c>
    </row>
    <row r="388" spans="1:2" x14ac:dyDescent="0.25">
      <c r="A388" s="8">
        <v>32568</v>
      </c>
      <c r="B388" s="7">
        <v>294.86999500000002</v>
      </c>
    </row>
    <row r="389" spans="1:2" x14ac:dyDescent="0.25">
      <c r="A389" s="8">
        <v>32601</v>
      </c>
      <c r="B389" s="7">
        <v>309.64001500000001</v>
      </c>
    </row>
    <row r="390" spans="1:2" x14ac:dyDescent="0.25">
      <c r="A390" s="8">
        <v>32629</v>
      </c>
      <c r="B390" s="7">
        <v>320.51998900000001</v>
      </c>
    </row>
    <row r="391" spans="1:2" x14ac:dyDescent="0.25">
      <c r="A391" s="8">
        <v>32660</v>
      </c>
      <c r="B391" s="7">
        <v>317.98001099999999</v>
      </c>
    </row>
    <row r="392" spans="1:2" x14ac:dyDescent="0.25">
      <c r="A392" s="8">
        <v>32692</v>
      </c>
      <c r="B392" s="7">
        <v>346.07998700000002</v>
      </c>
    </row>
    <row r="393" spans="1:2" x14ac:dyDescent="0.25">
      <c r="A393" s="8">
        <v>32721</v>
      </c>
      <c r="B393" s="7">
        <v>351.45001200000002</v>
      </c>
    </row>
    <row r="394" spans="1:2" x14ac:dyDescent="0.25">
      <c r="A394" s="8">
        <v>32752</v>
      </c>
      <c r="B394" s="7">
        <v>349.14999399999999</v>
      </c>
    </row>
    <row r="395" spans="1:2" x14ac:dyDescent="0.25">
      <c r="A395" s="8">
        <v>32783</v>
      </c>
      <c r="B395" s="7">
        <v>340.35998499999999</v>
      </c>
    </row>
    <row r="396" spans="1:2" x14ac:dyDescent="0.25">
      <c r="A396" s="8">
        <v>32813</v>
      </c>
      <c r="B396" s="7">
        <v>345.98998999999998</v>
      </c>
    </row>
    <row r="397" spans="1:2" x14ac:dyDescent="0.25">
      <c r="A397" s="8">
        <v>32843</v>
      </c>
      <c r="B397" s="7">
        <v>353.39999399999999</v>
      </c>
    </row>
    <row r="398" spans="1:2" x14ac:dyDescent="0.25">
      <c r="A398" s="8">
        <v>32875</v>
      </c>
      <c r="B398" s="7">
        <v>329.07998700000002</v>
      </c>
    </row>
    <row r="399" spans="1:2" x14ac:dyDescent="0.25">
      <c r="A399" s="8">
        <v>32905</v>
      </c>
      <c r="B399" s="7">
        <v>331.89001500000001</v>
      </c>
    </row>
    <row r="400" spans="1:2" x14ac:dyDescent="0.25">
      <c r="A400" s="8">
        <v>32933</v>
      </c>
      <c r="B400" s="7">
        <v>339.94000199999999</v>
      </c>
    </row>
    <row r="401" spans="1:2" x14ac:dyDescent="0.25">
      <c r="A401" s="8">
        <v>32965</v>
      </c>
      <c r="B401" s="7">
        <v>330.79998799999998</v>
      </c>
    </row>
    <row r="402" spans="1:2" x14ac:dyDescent="0.25">
      <c r="A402" s="8">
        <v>32994</v>
      </c>
      <c r="B402" s="7">
        <v>361.23001099999999</v>
      </c>
    </row>
    <row r="403" spans="1:2" x14ac:dyDescent="0.25">
      <c r="A403" s="8">
        <v>33025</v>
      </c>
      <c r="B403" s="7">
        <v>358.01998900000001</v>
      </c>
    </row>
    <row r="404" spans="1:2" x14ac:dyDescent="0.25">
      <c r="A404" s="8">
        <v>33056</v>
      </c>
      <c r="B404" s="7">
        <v>356.14999399999999</v>
      </c>
    </row>
    <row r="405" spans="1:2" x14ac:dyDescent="0.25">
      <c r="A405" s="8">
        <v>33086</v>
      </c>
      <c r="B405" s="7">
        <v>322.55999800000001</v>
      </c>
    </row>
    <row r="406" spans="1:2" x14ac:dyDescent="0.25">
      <c r="A406" s="8">
        <v>33120</v>
      </c>
      <c r="B406" s="7">
        <v>306.04998799999998</v>
      </c>
    </row>
    <row r="407" spans="1:2" x14ac:dyDescent="0.25">
      <c r="A407" s="8">
        <v>33147</v>
      </c>
      <c r="B407" s="7">
        <v>304</v>
      </c>
    </row>
    <row r="408" spans="1:2" x14ac:dyDescent="0.25">
      <c r="A408" s="8">
        <v>33178</v>
      </c>
      <c r="B408" s="7">
        <v>322.22000100000002</v>
      </c>
    </row>
    <row r="409" spans="1:2" x14ac:dyDescent="0.25">
      <c r="A409" s="8">
        <v>33210</v>
      </c>
      <c r="B409" s="7">
        <v>330.22000100000002</v>
      </c>
    </row>
    <row r="410" spans="1:2" x14ac:dyDescent="0.25">
      <c r="A410" s="8">
        <v>33240</v>
      </c>
      <c r="B410" s="7">
        <v>343.92999300000002</v>
      </c>
    </row>
    <row r="411" spans="1:2" x14ac:dyDescent="0.25">
      <c r="A411" s="8">
        <v>33270</v>
      </c>
      <c r="B411" s="7">
        <v>367.07000699999998</v>
      </c>
    </row>
    <row r="412" spans="1:2" x14ac:dyDescent="0.25">
      <c r="A412" s="8">
        <v>33298</v>
      </c>
      <c r="B412" s="7">
        <v>375.22000100000002</v>
      </c>
    </row>
    <row r="413" spans="1:2" x14ac:dyDescent="0.25">
      <c r="A413" s="8">
        <v>33329</v>
      </c>
      <c r="B413" s="7">
        <v>375.33999599999999</v>
      </c>
    </row>
    <row r="414" spans="1:2" x14ac:dyDescent="0.25">
      <c r="A414" s="8">
        <v>33359</v>
      </c>
      <c r="B414" s="7">
        <v>389.82998700000002</v>
      </c>
    </row>
    <row r="415" spans="1:2" x14ac:dyDescent="0.25">
      <c r="A415" s="8">
        <v>33392</v>
      </c>
      <c r="B415" s="7">
        <v>371.16000400000001</v>
      </c>
    </row>
    <row r="416" spans="1:2" x14ac:dyDescent="0.25">
      <c r="A416" s="8">
        <v>33420</v>
      </c>
      <c r="B416" s="7">
        <v>387.80999800000001</v>
      </c>
    </row>
    <row r="417" spans="1:2" x14ac:dyDescent="0.25">
      <c r="A417" s="8">
        <v>33451</v>
      </c>
      <c r="B417" s="7">
        <v>395.42999300000002</v>
      </c>
    </row>
    <row r="418" spans="1:2" x14ac:dyDescent="0.25">
      <c r="A418" s="8">
        <v>33484</v>
      </c>
      <c r="B418" s="7">
        <v>387.85998499999999</v>
      </c>
    </row>
    <row r="419" spans="1:2" x14ac:dyDescent="0.25">
      <c r="A419" s="8">
        <v>33512</v>
      </c>
      <c r="B419" s="7">
        <v>392.45001200000002</v>
      </c>
    </row>
    <row r="420" spans="1:2" x14ac:dyDescent="0.25">
      <c r="A420" s="8">
        <v>33543</v>
      </c>
      <c r="B420" s="7">
        <v>375.22000100000002</v>
      </c>
    </row>
    <row r="421" spans="1:2" x14ac:dyDescent="0.25">
      <c r="A421" s="8">
        <v>33574</v>
      </c>
      <c r="B421" s="7">
        <v>417.08999599999999</v>
      </c>
    </row>
    <row r="422" spans="1:2" x14ac:dyDescent="0.25">
      <c r="A422" s="8">
        <v>33605</v>
      </c>
      <c r="B422" s="7">
        <v>408.77999899999998</v>
      </c>
    </row>
    <row r="423" spans="1:2" x14ac:dyDescent="0.25">
      <c r="A423" s="8">
        <v>33637</v>
      </c>
      <c r="B423" s="7">
        <v>412.70001200000002</v>
      </c>
    </row>
    <row r="424" spans="1:2" x14ac:dyDescent="0.25">
      <c r="A424" s="8">
        <v>33665</v>
      </c>
      <c r="B424" s="7">
        <v>403.69000199999999</v>
      </c>
    </row>
    <row r="425" spans="1:2" x14ac:dyDescent="0.25">
      <c r="A425" s="8">
        <v>33695</v>
      </c>
      <c r="B425" s="7">
        <v>414.95001200000002</v>
      </c>
    </row>
    <row r="426" spans="1:2" x14ac:dyDescent="0.25">
      <c r="A426" s="8">
        <v>33725</v>
      </c>
      <c r="B426" s="7">
        <v>415.35000600000001</v>
      </c>
    </row>
    <row r="427" spans="1:2" x14ac:dyDescent="0.25">
      <c r="A427" s="8">
        <v>33756</v>
      </c>
      <c r="B427" s="7">
        <v>408.14001500000001</v>
      </c>
    </row>
    <row r="428" spans="1:2" x14ac:dyDescent="0.25">
      <c r="A428" s="8">
        <v>33786</v>
      </c>
      <c r="B428" s="7">
        <v>424.209991</v>
      </c>
    </row>
    <row r="429" spans="1:2" x14ac:dyDescent="0.25">
      <c r="A429" s="8">
        <v>33819</v>
      </c>
      <c r="B429" s="7">
        <v>414.02999899999998</v>
      </c>
    </row>
    <row r="430" spans="1:2" x14ac:dyDescent="0.25">
      <c r="A430" s="8">
        <v>33848</v>
      </c>
      <c r="B430" s="7">
        <v>417.79998799999998</v>
      </c>
    </row>
    <row r="431" spans="1:2" x14ac:dyDescent="0.25">
      <c r="A431" s="8">
        <v>33878</v>
      </c>
      <c r="B431" s="7">
        <v>418.67999300000002</v>
      </c>
    </row>
    <row r="432" spans="1:2" x14ac:dyDescent="0.25">
      <c r="A432" s="8">
        <v>33910</v>
      </c>
      <c r="B432" s="7">
        <v>431.35000600000001</v>
      </c>
    </row>
    <row r="433" spans="1:2" x14ac:dyDescent="0.25">
      <c r="A433" s="8">
        <v>33939</v>
      </c>
      <c r="B433" s="7">
        <v>435.709991</v>
      </c>
    </row>
    <row r="434" spans="1:2" x14ac:dyDescent="0.25">
      <c r="A434" s="8">
        <v>33973</v>
      </c>
      <c r="B434" s="7">
        <v>438.77999899999998</v>
      </c>
    </row>
    <row r="435" spans="1:2" x14ac:dyDescent="0.25">
      <c r="A435" s="8">
        <v>34001</v>
      </c>
      <c r="B435" s="7">
        <v>443.38000499999998</v>
      </c>
    </row>
    <row r="436" spans="1:2" x14ac:dyDescent="0.25">
      <c r="A436" s="8">
        <v>34029</v>
      </c>
      <c r="B436" s="7">
        <v>451.67001299999998</v>
      </c>
    </row>
    <row r="437" spans="1:2" x14ac:dyDescent="0.25">
      <c r="A437" s="8">
        <v>34060</v>
      </c>
      <c r="B437" s="7">
        <v>440.19000199999999</v>
      </c>
    </row>
    <row r="438" spans="1:2" x14ac:dyDescent="0.25">
      <c r="A438" s="8">
        <v>34092</v>
      </c>
      <c r="B438" s="7">
        <v>450.19000199999999</v>
      </c>
    </row>
    <row r="439" spans="1:2" x14ac:dyDescent="0.25">
      <c r="A439" s="8">
        <v>34121</v>
      </c>
      <c r="B439" s="7">
        <v>450.52999899999998</v>
      </c>
    </row>
    <row r="440" spans="1:2" x14ac:dyDescent="0.25">
      <c r="A440" s="8">
        <v>34151</v>
      </c>
      <c r="B440" s="7">
        <v>448.13000499999998</v>
      </c>
    </row>
    <row r="441" spans="1:2" x14ac:dyDescent="0.25">
      <c r="A441" s="8">
        <v>34183</v>
      </c>
      <c r="B441" s="7">
        <v>463.55999800000001</v>
      </c>
    </row>
    <row r="442" spans="1:2" x14ac:dyDescent="0.25">
      <c r="A442" s="8">
        <v>34213</v>
      </c>
      <c r="B442" s="7">
        <v>458.92999300000002</v>
      </c>
    </row>
    <row r="443" spans="1:2" x14ac:dyDescent="0.25">
      <c r="A443" s="8">
        <v>34243</v>
      </c>
      <c r="B443" s="7">
        <v>467.82998700000002</v>
      </c>
    </row>
    <row r="444" spans="1:2" x14ac:dyDescent="0.25">
      <c r="A444" s="8">
        <v>34274</v>
      </c>
      <c r="B444" s="7">
        <v>461.790009</v>
      </c>
    </row>
    <row r="445" spans="1:2" x14ac:dyDescent="0.25">
      <c r="A445" s="8">
        <v>34304</v>
      </c>
      <c r="B445" s="7">
        <v>466.45001200000002</v>
      </c>
    </row>
    <row r="446" spans="1:2" x14ac:dyDescent="0.25">
      <c r="A446" s="8">
        <v>34337</v>
      </c>
      <c r="B446" s="7">
        <v>481.60998499999999</v>
      </c>
    </row>
    <row r="447" spans="1:2" x14ac:dyDescent="0.25">
      <c r="A447" s="8">
        <v>34366</v>
      </c>
      <c r="B447" s="7">
        <v>467.14001500000001</v>
      </c>
    </row>
    <row r="448" spans="1:2" x14ac:dyDescent="0.25">
      <c r="A448" s="8">
        <v>34394</v>
      </c>
      <c r="B448" s="7">
        <v>445.76998900000001</v>
      </c>
    </row>
    <row r="449" spans="1:2" x14ac:dyDescent="0.25">
      <c r="A449" s="8">
        <v>34428</v>
      </c>
      <c r="B449" s="7">
        <v>450.91000400000001</v>
      </c>
    </row>
    <row r="450" spans="1:2" x14ac:dyDescent="0.25">
      <c r="A450" s="8">
        <v>34456</v>
      </c>
      <c r="B450" s="7">
        <v>456.5</v>
      </c>
    </row>
    <row r="451" spans="1:2" x14ac:dyDescent="0.25">
      <c r="A451" s="8">
        <v>34486</v>
      </c>
      <c r="B451" s="7">
        <v>444.26998900000001</v>
      </c>
    </row>
    <row r="452" spans="1:2" x14ac:dyDescent="0.25">
      <c r="A452" s="8">
        <v>34516</v>
      </c>
      <c r="B452" s="7">
        <v>458.26001000000002</v>
      </c>
    </row>
    <row r="453" spans="1:2" x14ac:dyDescent="0.25">
      <c r="A453" s="8">
        <v>34547</v>
      </c>
      <c r="B453" s="7">
        <v>475.48998999999998</v>
      </c>
    </row>
    <row r="454" spans="1:2" x14ac:dyDescent="0.25">
      <c r="A454" s="8">
        <v>34578</v>
      </c>
      <c r="B454" s="7">
        <v>462.709991</v>
      </c>
    </row>
    <row r="455" spans="1:2" x14ac:dyDescent="0.25">
      <c r="A455" s="8">
        <v>34610</v>
      </c>
      <c r="B455" s="7">
        <v>472.35000600000001</v>
      </c>
    </row>
    <row r="456" spans="1:2" x14ac:dyDescent="0.25">
      <c r="A456" s="8">
        <v>34639</v>
      </c>
      <c r="B456" s="7">
        <v>453.69000199999999</v>
      </c>
    </row>
    <row r="457" spans="1:2" x14ac:dyDescent="0.25">
      <c r="A457" s="8">
        <v>34669</v>
      </c>
      <c r="B457" s="7">
        <v>459.26998900000001</v>
      </c>
    </row>
    <row r="458" spans="1:2" x14ac:dyDescent="0.25">
      <c r="A458" s="8">
        <v>34702</v>
      </c>
      <c r="B458" s="7">
        <v>470.42001299999998</v>
      </c>
    </row>
    <row r="459" spans="1:2" x14ac:dyDescent="0.25">
      <c r="A459" s="8">
        <v>34731</v>
      </c>
      <c r="B459" s="7">
        <v>487.39001500000001</v>
      </c>
    </row>
    <row r="460" spans="1:2" x14ac:dyDescent="0.25">
      <c r="A460" s="8">
        <v>34759</v>
      </c>
      <c r="B460" s="7">
        <v>500.709991</v>
      </c>
    </row>
    <row r="461" spans="1:2" x14ac:dyDescent="0.25">
      <c r="A461" s="8">
        <v>34792</v>
      </c>
      <c r="B461" s="7">
        <v>514.71002199999998</v>
      </c>
    </row>
    <row r="462" spans="1:2" x14ac:dyDescent="0.25">
      <c r="A462" s="8">
        <v>34820</v>
      </c>
      <c r="B462" s="7">
        <v>533.40002400000003</v>
      </c>
    </row>
    <row r="463" spans="1:2" x14ac:dyDescent="0.25">
      <c r="A463" s="8">
        <v>34851</v>
      </c>
      <c r="B463" s="7">
        <v>544.75</v>
      </c>
    </row>
    <row r="464" spans="1:2" x14ac:dyDescent="0.25">
      <c r="A464" s="8">
        <v>34883</v>
      </c>
      <c r="B464" s="7">
        <v>562.05999799999995</v>
      </c>
    </row>
    <row r="465" spans="1:2" x14ac:dyDescent="0.25">
      <c r="A465" s="8">
        <v>34912</v>
      </c>
      <c r="B465" s="7">
        <v>561.88000499999998</v>
      </c>
    </row>
    <row r="466" spans="1:2" x14ac:dyDescent="0.25">
      <c r="A466" s="8">
        <v>34943</v>
      </c>
      <c r="B466" s="7">
        <v>584.40997300000004</v>
      </c>
    </row>
    <row r="467" spans="1:2" x14ac:dyDescent="0.25">
      <c r="A467" s="8">
        <v>34974</v>
      </c>
      <c r="B467" s="7">
        <v>581.5</v>
      </c>
    </row>
    <row r="468" spans="1:2" x14ac:dyDescent="0.25">
      <c r="A468" s="8">
        <v>35004</v>
      </c>
      <c r="B468" s="7">
        <v>605.36999500000002</v>
      </c>
    </row>
    <row r="469" spans="1:2" x14ac:dyDescent="0.25">
      <c r="A469" s="8">
        <v>35034</v>
      </c>
      <c r="B469" s="7">
        <v>615.92999299999997</v>
      </c>
    </row>
    <row r="470" spans="1:2" x14ac:dyDescent="0.25">
      <c r="A470" s="8">
        <v>35066</v>
      </c>
      <c r="B470" s="7">
        <v>636.02002000000005</v>
      </c>
    </row>
    <row r="471" spans="1:2" x14ac:dyDescent="0.25">
      <c r="A471" s="8">
        <v>35096</v>
      </c>
      <c r="B471" s="7">
        <v>640.42999299999997</v>
      </c>
    </row>
    <row r="472" spans="1:2" x14ac:dyDescent="0.25">
      <c r="A472" s="8">
        <v>35125</v>
      </c>
      <c r="B472" s="7">
        <v>645.5</v>
      </c>
    </row>
    <row r="473" spans="1:2" x14ac:dyDescent="0.25">
      <c r="A473" s="8">
        <v>35156</v>
      </c>
      <c r="B473" s="7">
        <v>654.169983</v>
      </c>
    </row>
    <row r="474" spans="1:2" x14ac:dyDescent="0.25">
      <c r="A474" s="8">
        <v>35186</v>
      </c>
      <c r="B474" s="7">
        <v>669.11999500000002</v>
      </c>
    </row>
    <row r="475" spans="1:2" x14ac:dyDescent="0.25">
      <c r="A475" s="8">
        <v>35219</v>
      </c>
      <c r="B475" s="7">
        <v>670.63000499999998</v>
      </c>
    </row>
    <row r="476" spans="1:2" x14ac:dyDescent="0.25">
      <c r="A476" s="8">
        <v>35247</v>
      </c>
      <c r="B476" s="7">
        <v>639.95001200000002</v>
      </c>
    </row>
    <row r="477" spans="1:2" x14ac:dyDescent="0.25">
      <c r="A477" s="8">
        <v>35278</v>
      </c>
      <c r="B477" s="7">
        <v>651.98999000000003</v>
      </c>
    </row>
    <row r="478" spans="1:2" x14ac:dyDescent="0.25">
      <c r="A478" s="8">
        <v>35311</v>
      </c>
      <c r="B478" s="7">
        <v>687.330017</v>
      </c>
    </row>
    <row r="479" spans="1:2" x14ac:dyDescent="0.25">
      <c r="A479" s="8">
        <v>35339</v>
      </c>
      <c r="B479" s="7">
        <v>705.27002000000005</v>
      </c>
    </row>
    <row r="480" spans="1:2" x14ac:dyDescent="0.25">
      <c r="A480" s="8">
        <v>35370</v>
      </c>
      <c r="B480" s="7">
        <v>757.02002000000005</v>
      </c>
    </row>
    <row r="481" spans="1:2" x14ac:dyDescent="0.25">
      <c r="A481" s="8">
        <v>35401</v>
      </c>
      <c r="B481" s="7">
        <v>740.73999000000003</v>
      </c>
    </row>
    <row r="482" spans="1:2" x14ac:dyDescent="0.25">
      <c r="A482" s="8">
        <v>35432</v>
      </c>
      <c r="B482" s="7">
        <v>786.15997300000004</v>
      </c>
    </row>
    <row r="483" spans="1:2" x14ac:dyDescent="0.25">
      <c r="A483" s="8">
        <v>35464</v>
      </c>
      <c r="B483" s="7">
        <v>790.82000700000003</v>
      </c>
    </row>
    <row r="484" spans="1:2" x14ac:dyDescent="0.25">
      <c r="A484" s="8">
        <v>35492</v>
      </c>
      <c r="B484" s="7">
        <v>757.11999500000002</v>
      </c>
    </row>
    <row r="485" spans="1:2" x14ac:dyDescent="0.25">
      <c r="A485" s="8">
        <v>35521</v>
      </c>
      <c r="B485" s="7">
        <v>801.34002699999996</v>
      </c>
    </row>
    <row r="486" spans="1:2" x14ac:dyDescent="0.25">
      <c r="A486" s="8">
        <v>35551</v>
      </c>
      <c r="B486" s="7">
        <v>848.28002900000001</v>
      </c>
    </row>
    <row r="487" spans="1:2" x14ac:dyDescent="0.25">
      <c r="A487" s="8">
        <v>35583</v>
      </c>
      <c r="B487" s="7">
        <v>885.14001499999995</v>
      </c>
    </row>
    <row r="488" spans="1:2" x14ac:dyDescent="0.25">
      <c r="A488" s="8">
        <v>35612</v>
      </c>
      <c r="B488" s="7">
        <v>954.30999799999995</v>
      </c>
    </row>
    <row r="489" spans="1:2" x14ac:dyDescent="0.25">
      <c r="A489" s="8">
        <v>35643</v>
      </c>
      <c r="B489" s="7">
        <v>899.46997099999999</v>
      </c>
    </row>
    <row r="490" spans="1:2" x14ac:dyDescent="0.25">
      <c r="A490" s="8">
        <v>35675</v>
      </c>
      <c r="B490" s="7">
        <v>947.28002900000001</v>
      </c>
    </row>
    <row r="491" spans="1:2" x14ac:dyDescent="0.25">
      <c r="A491" s="8">
        <v>35704</v>
      </c>
      <c r="B491" s="7">
        <v>914.61999500000002</v>
      </c>
    </row>
    <row r="492" spans="1:2" x14ac:dyDescent="0.25">
      <c r="A492" s="8">
        <v>35737</v>
      </c>
      <c r="B492" s="7">
        <v>955.40002400000003</v>
      </c>
    </row>
    <row r="493" spans="1:2" x14ac:dyDescent="0.25">
      <c r="A493" s="8">
        <v>35765</v>
      </c>
      <c r="B493" s="7">
        <v>970.42999299999997</v>
      </c>
    </row>
    <row r="494" spans="1:2" x14ac:dyDescent="0.25">
      <c r="A494" s="8">
        <v>35797</v>
      </c>
      <c r="B494" s="7">
        <v>980.28002900000001</v>
      </c>
    </row>
    <row r="495" spans="1:2" x14ac:dyDescent="0.25">
      <c r="A495" s="8">
        <v>35828</v>
      </c>
      <c r="B495" s="7">
        <v>1049.339966</v>
      </c>
    </row>
    <row r="496" spans="1:2" x14ac:dyDescent="0.25">
      <c r="A496" s="8">
        <v>35856</v>
      </c>
      <c r="B496" s="7">
        <v>1101.75</v>
      </c>
    </row>
    <row r="497" spans="1:2" x14ac:dyDescent="0.25">
      <c r="A497" s="8">
        <v>35886</v>
      </c>
      <c r="B497" s="7">
        <v>1111.75</v>
      </c>
    </row>
    <row r="498" spans="1:2" x14ac:dyDescent="0.25">
      <c r="A498" s="8">
        <v>35916</v>
      </c>
      <c r="B498" s="7">
        <v>1090.8199460000001</v>
      </c>
    </row>
    <row r="499" spans="1:2" x14ac:dyDescent="0.25">
      <c r="A499" s="8">
        <v>35947</v>
      </c>
      <c r="B499" s="7">
        <v>1133.839966</v>
      </c>
    </row>
    <row r="500" spans="1:2" x14ac:dyDescent="0.25">
      <c r="A500" s="8">
        <v>35977</v>
      </c>
      <c r="B500" s="7">
        <v>1120.670044</v>
      </c>
    </row>
    <row r="501" spans="1:2" x14ac:dyDescent="0.25">
      <c r="A501" s="8">
        <v>36010</v>
      </c>
      <c r="B501" s="7">
        <v>957.28002900000001</v>
      </c>
    </row>
    <row r="502" spans="1:2" x14ac:dyDescent="0.25">
      <c r="A502" s="8">
        <v>36039</v>
      </c>
      <c r="B502" s="7">
        <v>1017.01001</v>
      </c>
    </row>
    <row r="503" spans="1:2" x14ac:dyDescent="0.25">
      <c r="A503" s="8">
        <v>36069</v>
      </c>
      <c r="B503" s="7">
        <v>1098.670044</v>
      </c>
    </row>
    <row r="504" spans="1:2" x14ac:dyDescent="0.25">
      <c r="A504" s="8">
        <v>36101</v>
      </c>
      <c r="B504" s="7">
        <v>1163.630005</v>
      </c>
    </row>
    <row r="505" spans="1:2" x14ac:dyDescent="0.25">
      <c r="A505" s="8">
        <v>36130</v>
      </c>
      <c r="B505" s="7">
        <v>1229.2299800000001</v>
      </c>
    </row>
    <row r="506" spans="1:2" x14ac:dyDescent="0.25">
      <c r="A506" s="8">
        <v>36164</v>
      </c>
      <c r="B506" s="7">
        <v>1279.6400149999999</v>
      </c>
    </row>
    <row r="507" spans="1:2" x14ac:dyDescent="0.25">
      <c r="A507" s="8">
        <v>36192</v>
      </c>
      <c r="B507" s="7">
        <v>1238.329956</v>
      </c>
    </row>
    <row r="508" spans="1:2" x14ac:dyDescent="0.25">
      <c r="A508" s="8">
        <v>36220</v>
      </c>
      <c r="B508" s="7">
        <v>1286.369995</v>
      </c>
    </row>
    <row r="509" spans="1:2" x14ac:dyDescent="0.25">
      <c r="A509" s="8">
        <v>36251</v>
      </c>
      <c r="B509" s="7">
        <v>1335.1800539999999</v>
      </c>
    </row>
    <row r="510" spans="1:2" x14ac:dyDescent="0.25">
      <c r="A510" s="8">
        <v>36283</v>
      </c>
      <c r="B510" s="7">
        <v>1301.839966</v>
      </c>
    </row>
    <row r="511" spans="1:2" x14ac:dyDescent="0.25">
      <c r="A511" s="8">
        <v>36312</v>
      </c>
      <c r="B511" s="7">
        <v>1372.709961</v>
      </c>
    </row>
    <row r="512" spans="1:2" x14ac:dyDescent="0.25">
      <c r="A512" s="8">
        <v>36342</v>
      </c>
      <c r="B512" s="7">
        <v>1328.719971</v>
      </c>
    </row>
    <row r="513" spans="1:2" x14ac:dyDescent="0.25">
      <c r="A513" s="8">
        <v>36374</v>
      </c>
      <c r="B513" s="7">
        <v>1320.410034</v>
      </c>
    </row>
    <row r="514" spans="1:2" x14ac:dyDescent="0.25">
      <c r="A514" s="8">
        <v>36404</v>
      </c>
      <c r="B514" s="7">
        <v>1282.709961</v>
      </c>
    </row>
    <row r="515" spans="1:2" x14ac:dyDescent="0.25">
      <c r="A515" s="8">
        <v>36434</v>
      </c>
      <c r="B515" s="7">
        <v>1362.9300539999999</v>
      </c>
    </row>
    <row r="516" spans="1:2" x14ac:dyDescent="0.25">
      <c r="A516" s="8">
        <v>36465</v>
      </c>
      <c r="B516" s="7">
        <v>1388.910034</v>
      </c>
    </row>
    <row r="517" spans="1:2" x14ac:dyDescent="0.25">
      <c r="A517" s="8">
        <v>36495</v>
      </c>
      <c r="B517" s="7">
        <v>1469.25</v>
      </c>
    </row>
    <row r="518" spans="1:2" x14ac:dyDescent="0.25">
      <c r="A518" s="8">
        <v>36528</v>
      </c>
      <c r="B518" s="7">
        <v>1394.459961</v>
      </c>
    </row>
    <row r="519" spans="1:2" x14ac:dyDescent="0.25">
      <c r="A519" s="8">
        <v>36557</v>
      </c>
      <c r="B519" s="7">
        <v>1366.420044</v>
      </c>
    </row>
    <row r="520" spans="1:2" x14ac:dyDescent="0.25">
      <c r="A520" s="8">
        <v>36586</v>
      </c>
      <c r="B520" s="7">
        <v>1498.579956</v>
      </c>
    </row>
    <row r="521" spans="1:2" x14ac:dyDescent="0.25">
      <c r="A521" s="8">
        <v>36619</v>
      </c>
      <c r="B521" s="7">
        <v>1452.4300539999999</v>
      </c>
    </row>
    <row r="522" spans="1:2" x14ac:dyDescent="0.25">
      <c r="A522" s="8">
        <v>36647</v>
      </c>
      <c r="B522" s="7">
        <v>1420.599976</v>
      </c>
    </row>
    <row r="523" spans="1:2" x14ac:dyDescent="0.25">
      <c r="A523" s="8">
        <v>36678</v>
      </c>
      <c r="B523" s="7">
        <v>1454.599976</v>
      </c>
    </row>
    <row r="524" spans="1:2" x14ac:dyDescent="0.25">
      <c r="A524" s="8">
        <v>36710</v>
      </c>
      <c r="B524" s="7">
        <v>1430.829956</v>
      </c>
    </row>
    <row r="525" spans="1:2" x14ac:dyDescent="0.25">
      <c r="A525" s="8">
        <v>36739</v>
      </c>
      <c r="B525" s="7">
        <v>1517.6800539999999</v>
      </c>
    </row>
    <row r="526" spans="1:2" x14ac:dyDescent="0.25">
      <c r="A526" s="8">
        <v>36770</v>
      </c>
      <c r="B526" s="7">
        <v>1436.51001</v>
      </c>
    </row>
    <row r="527" spans="1:2" x14ac:dyDescent="0.25">
      <c r="A527" s="8">
        <v>36801</v>
      </c>
      <c r="B527" s="7">
        <v>1429.400024</v>
      </c>
    </row>
    <row r="528" spans="1:2" x14ac:dyDescent="0.25">
      <c r="A528" s="8">
        <v>36831</v>
      </c>
      <c r="B528" s="7">
        <v>1314.9499510000001</v>
      </c>
    </row>
    <row r="529" spans="1:2" x14ac:dyDescent="0.25">
      <c r="A529" s="8">
        <v>36861</v>
      </c>
      <c r="B529" s="7">
        <v>1320.280029</v>
      </c>
    </row>
    <row r="530" spans="1:2" x14ac:dyDescent="0.25">
      <c r="A530" s="8">
        <v>36893</v>
      </c>
      <c r="B530" s="7">
        <v>1366.01001</v>
      </c>
    </row>
    <row r="531" spans="1:2" x14ac:dyDescent="0.25">
      <c r="A531" s="8">
        <v>36923</v>
      </c>
      <c r="B531" s="7">
        <v>1239.9399410000001</v>
      </c>
    </row>
    <row r="532" spans="1:2" x14ac:dyDescent="0.25">
      <c r="A532" s="8">
        <v>36951</v>
      </c>
      <c r="B532" s="7">
        <v>1160.329956</v>
      </c>
    </row>
    <row r="533" spans="1:2" x14ac:dyDescent="0.25">
      <c r="A533" s="8">
        <v>36983</v>
      </c>
      <c r="B533" s="7">
        <v>1249.459961</v>
      </c>
    </row>
    <row r="534" spans="1:2" x14ac:dyDescent="0.25">
      <c r="A534" s="8">
        <v>37012</v>
      </c>
      <c r="B534" s="7">
        <v>1255.8199460000001</v>
      </c>
    </row>
    <row r="535" spans="1:2" x14ac:dyDescent="0.25">
      <c r="A535" s="8">
        <v>37043</v>
      </c>
      <c r="B535" s="7">
        <v>1224.380005</v>
      </c>
    </row>
    <row r="536" spans="1:2" x14ac:dyDescent="0.25">
      <c r="A536" s="8">
        <v>37074</v>
      </c>
      <c r="B536" s="7">
        <v>1211.2299800000001</v>
      </c>
    </row>
    <row r="537" spans="1:2" x14ac:dyDescent="0.25">
      <c r="A537" s="8">
        <v>37104</v>
      </c>
      <c r="B537" s="7">
        <v>1133.579956</v>
      </c>
    </row>
    <row r="538" spans="1:2" x14ac:dyDescent="0.25">
      <c r="A538" s="8">
        <v>37138</v>
      </c>
      <c r="B538" s="7">
        <v>1040.9399410000001</v>
      </c>
    </row>
    <row r="539" spans="1:2" x14ac:dyDescent="0.25">
      <c r="A539" s="8">
        <v>37165</v>
      </c>
      <c r="B539" s="7">
        <v>1059.780029</v>
      </c>
    </row>
    <row r="540" spans="1:2" x14ac:dyDescent="0.25">
      <c r="A540" s="8">
        <v>37196</v>
      </c>
      <c r="B540" s="7">
        <v>1139.4499510000001</v>
      </c>
    </row>
    <row r="541" spans="1:2" x14ac:dyDescent="0.25">
      <c r="A541" s="8">
        <v>37228</v>
      </c>
      <c r="B541" s="7">
        <v>1148.079956</v>
      </c>
    </row>
    <row r="542" spans="1:2" x14ac:dyDescent="0.25">
      <c r="A542" s="8">
        <v>37258</v>
      </c>
      <c r="B542" s="7">
        <v>1130.1999510000001</v>
      </c>
    </row>
    <row r="543" spans="1:2" x14ac:dyDescent="0.25">
      <c r="A543" s="8">
        <v>37288</v>
      </c>
      <c r="B543" s="7">
        <v>1106.7299800000001</v>
      </c>
    </row>
    <row r="544" spans="1:2" x14ac:dyDescent="0.25">
      <c r="A544" s="8">
        <v>37316</v>
      </c>
      <c r="B544" s="7">
        <v>1147.3900149999999</v>
      </c>
    </row>
    <row r="545" spans="1:2" x14ac:dyDescent="0.25">
      <c r="A545" s="8">
        <v>37347</v>
      </c>
      <c r="B545" s="7">
        <v>1076.920044</v>
      </c>
    </row>
    <row r="546" spans="1:2" x14ac:dyDescent="0.25">
      <c r="A546" s="8">
        <v>37377</v>
      </c>
      <c r="B546" s="7">
        <v>1067.1400149999999</v>
      </c>
    </row>
    <row r="547" spans="1:2" x14ac:dyDescent="0.25">
      <c r="A547" s="8">
        <v>37410</v>
      </c>
      <c r="B547" s="7">
        <v>989.82000700000003</v>
      </c>
    </row>
    <row r="548" spans="1:2" x14ac:dyDescent="0.25">
      <c r="A548" s="8">
        <v>37438</v>
      </c>
      <c r="B548" s="7">
        <v>911.61999500000002</v>
      </c>
    </row>
    <row r="549" spans="1:2" x14ac:dyDescent="0.25">
      <c r="A549" s="8">
        <v>37469</v>
      </c>
      <c r="B549" s="7">
        <v>916.07000700000003</v>
      </c>
    </row>
    <row r="550" spans="1:2" x14ac:dyDescent="0.25">
      <c r="A550" s="8">
        <v>37502</v>
      </c>
      <c r="B550" s="7">
        <v>815.28002900000001</v>
      </c>
    </row>
    <row r="551" spans="1:2" x14ac:dyDescent="0.25">
      <c r="A551" s="8">
        <v>37530</v>
      </c>
      <c r="B551" s="7">
        <v>885.76000999999997</v>
      </c>
    </row>
    <row r="552" spans="1:2" x14ac:dyDescent="0.25">
      <c r="A552" s="8">
        <v>37561</v>
      </c>
      <c r="B552" s="7">
        <v>936.30999799999995</v>
      </c>
    </row>
    <row r="553" spans="1:2" x14ac:dyDescent="0.25">
      <c r="A553" s="8">
        <v>37592</v>
      </c>
      <c r="B553" s="7">
        <v>879.82000700000003</v>
      </c>
    </row>
    <row r="554" spans="1:2" x14ac:dyDescent="0.25">
      <c r="A554" s="8">
        <v>37623</v>
      </c>
      <c r="B554" s="7">
        <v>855.70001200000002</v>
      </c>
    </row>
    <row r="555" spans="1:2" x14ac:dyDescent="0.25">
      <c r="A555" s="8">
        <v>37655</v>
      </c>
      <c r="B555" s="7">
        <v>841.15002400000003</v>
      </c>
    </row>
    <row r="556" spans="1:2" x14ac:dyDescent="0.25">
      <c r="A556" s="8">
        <v>37683</v>
      </c>
      <c r="B556" s="7">
        <v>848.17999299999997</v>
      </c>
    </row>
    <row r="557" spans="1:2" x14ac:dyDescent="0.25">
      <c r="A557" s="8">
        <v>37712</v>
      </c>
      <c r="B557" s="7">
        <v>916.919983</v>
      </c>
    </row>
    <row r="558" spans="1:2" x14ac:dyDescent="0.25">
      <c r="A558" s="8">
        <v>37742</v>
      </c>
      <c r="B558" s="7">
        <v>963.59002699999996</v>
      </c>
    </row>
    <row r="559" spans="1:2" x14ac:dyDescent="0.25">
      <c r="A559" s="8">
        <v>37774</v>
      </c>
      <c r="B559" s="7">
        <v>974.5</v>
      </c>
    </row>
    <row r="560" spans="1:2" x14ac:dyDescent="0.25">
      <c r="A560" s="8">
        <v>37803</v>
      </c>
      <c r="B560" s="7">
        <v>990.30999799999995</v>
      </c>
    </row>
    <row r="561" spans="1:2" x14ac:dyDescent="0.25">
      <c r="A561" s="8">
        <v>37834</v>
      </c>
      <c r="B561" s="7">
        <v>1008.01001</v>
      </c>
    </row>
    <row r="562" spans="1:2" x14ac:dyDescent="0.25">
      <c r="A562" s="8">
        <v>37866</v>
      </c>
      <c r="B562" s="7">
        <v>995.96997099999999</v>
      </c>
    </row>
    <row r="563" spans="1:2" x14ac:dyDescent="0.25">
      <c r="A563" s="8">
        <v>37895</v>
      </c>
      <c r="B563" s="7">
        <v>1050.709961</v>
      </c>
    </row>
    <row r="564" spans="1:2" x14ac:dyDescent="0.25">
      <c r="A564" s="8">
        <v>37928</v>
      </c>
      <c r="B564" s="7">
        <v>1058.1999510000001</v>
      </c>
    </row>
    <row r="565" spans="1:2" x14ac:dyDescent="0.25">
      <c r="A565" s="8">
        <v>37956</v>
      </c>
      <c r="B565" s="7">
        <v>1111.920044</v>
      </c>
    </row>
    <row r="566" spans="1:2" x14ac:dyDescent="0.25">
      <c r="A566" s="8">
        <v>37988</v>
      </c>
      <c r="B566" s="7">
        <v>1131.130005</v>
      </c>
    </row>
    <row r="567" spans="1:2" x14ac:dyDescent="0.25">
      <c r="A567" s="8">
        <v>38019</v>
      </c>
      <c r="B567" s="7">
        <v>1144.9399410000001</v>
      </c>
    </row>
    <row r="568" spans="1:2" x14ac:dyDescent="0.25">
      <c r="A568" s="8">
        <v>38047</v>
      </c>
      <c r="B568" s="7">
        <v>1126.209961</v>
      </c>
    </row>
    <row r="569" spans="1:2" x14ac:dyDescent="0.25">
      <c r="A569" s="8">
        <v>38078</v>
      </c>
      <c r="B569" s="7">
        <v>1107.3000489999999</v>
      </c>
    </row>
    <row r="570" spans="1:2" x14ac:dyDescent="0.25">
      <c r="A570" s="8">
        <v>38110</v>
      </c>
      <c r="B570" s="7">
        <v>1120.6800539999999</v>
      </c>
    </row>
    <row r="571" spans="1:2" x14ac:dyDescent="0.25">
      <c r="A571" s="8">
        <v>38139</v>
      </c>
      <c r="B571" s="7">
        <v>1140.839966</v>
      </c>
    </row>
    <row r="572" spans="1:2" x14ac:dyDescent="0.25">
      <c r="A572" s="8">
        <v>38169</v>
      </c>
      <c r="B572" s="7">
        <v>1101.719971</v>
      </c>
    </row>
    <row r="573" spans="1:2" x14ac:dyDescent="0.25">
      <c r="A573" s="8">
        <v>38201</v>
      </c>
      <c r="B573" s="7">
        <v>1104.23999</v>
      </c>
    </row>
    <row r="574" spans="1:2" x14ac:dyDescent="0.25">
      <c r="A574" s="8">
        <v>38231</v>
      </c>
      <c r="B574" s="7">
        <v>1114.579956</v>
      </c>
    </row>
    <row r="575" spans="1:2" x14ac:dyDescent="0.25">
      <c r="A575" s="8">
        <v>38261</v>
      </c>
      <c r="B575" s="7">
        <v>1130.1999510000001</v>
      </c>
    </row>
    <row r="576" spans="1:2" x14ac:dyDescent="0.25">
      <c r="A576" s="8">
        <v>38292</v>
      </c>
      <c r="B576" s="7">
        <v>1173.8199460000001</v>
      </c>
    </row>
    <row r="577" spans="1:2" x14ac:dyDescent="0.25">
      <c r="A577" s="8">
        <v>38322</v>
      </c>
      <c r="B577" s="7">
        <v>1211.920044</v>
      </c>
    </row>
    <row r="578" spans="1:2" x14ac:dyDescent="0.25">
      <c r="A578" s="8">
        <v>38355</v>
      </c>
      <c r="B578" s="7">
        <v>1181.2700199999999</v>
      </c>
    </row>
    <row r="579" spans="1:2" x14ac:dyDescent="0.25">
      <c r="A579" s="8">
        <v>38384</v>
      </c>
      <c r="B579" s="7">
        <v>1203.599976</v>
      </c>
    </row>
    <row r="580" spans="1:2" x14ac:dyDescent="0.25">
      <c r="A580" s="8">
        <v>38412</v>
      </c>
      <c r="B580" s="7">
        <v>1180.589966</v>
      </c>
    </row>
    <row r="581" spans="1:2" x14ac:dyDescent="0.25">
      <c r="A581" s="8">
        <v>38443</v>
      </c>
      <c r="B581" s="7">
        <v>1156.849976</v>
      </c>
    </row>
    <row r="582" spans="1:2" x14ac:dyDescent="0.25">
      <c r="A582" s="8">
        <v>38474</v>
      </c>
      <c r="B582" s="7">
        <v>1191.5</v>
      </c>
    </row>
    <row r="583" spans="1:2" x14ac:dyDescent="0.25">
      <c r="A583" s="8">
        <v>38504</v>
      </c>
      <c r="B583" s="7">
        <v>1191.329956</v>
      </c>
    </row>
    <row r="584" spans="1:2" x14ac:dyDescent="0.25">
      <c r="A584" s="8">
        <v>38534</v>
      </c>
      <c r="B584" s="7">
        <v>1234.1800539999999</v>
      </c>
    </row>
    <row r="585" spans="1:2" x14ac:dyDescent="0.25">
      <c r="A585" s="8">
        <v>38565</v>
      </c>
      <c r="B585" s="7">
        <v>1220.329956</v>
      </c>
    </row>
    <row r="586" spans="1:2" x14ac:dyDescent="0.25">
      <c r="A586" s="8">
        <v>38596</v>
      </c>
      <c r="B586" s="7">
        <v>1228.8100589999999</v>
      </c>
    </row>
    <row r="587" spans="1:2" x14ac:dyDescent="0.25">
      <c r="A587" s="8">
        <v>38628</v>
      </c>
      <c r="B587" s="7">
        <v>1207.01001</v>
      </c>
    </row>
    <row r="588" spans="1:2" x14ac:dyDescent="0.25">
      <c r="A588" s="8">
        <v>38657</v>
      </c>
      <c r="B588" s="7">
        <v>1249.4799800000001</v>
      </c>
    </row>
    <row r="589" spans="1:2" x14ac:dyDescent="0.25">
      <c r="A589" s="8">
        <v>38687</v>
      </c>
      <c r="B589" s="7">
        <v>1248.290039</v>
      </c>
    </row>
    <row r="590" spans="1:2" x14ac:dyDescent="0.25">
      <c r="A590" s="8">
        <v>38720</v>
      </c>
      <c r="B590" s="7">
        <v>1280.079956</v>
      </c>
    </row>
    <row r="591" spans="1:2" x14ac:dyDescent="0.25">
      <c r="A591" s="8">
        <v>38749</v>
      </c>
      <c r="B591" s="7">
        <v>1280.660034</v>
      </c>
    </row>
    <row r="592" spans="1:2" x14ac:dyDescent="0.25">
      <c r="A592" s="8">
        <v>38777</v>
      </c>
      <c r="B592" s="7">
        <v>1294.869995</v>
      </c>
    </row>
    <row r="593" spans="1:2" x14ac:dyDescent="0.25">
      <c r="A593" s="8">
        <v>38810</v>
      </c>
      <c r="B593" s="7">
        <v>1310.6099850000001</v>
      </c>
    </row>
    <row r="594" spans="1:2" x14ac:dyDescent="0.25">
      <c r="A594" s="8">
        <v>38838</v>
      </c>
      <c r="B594" s="7">
        <v>1270.089966</v>
      </c>
    </row>
    <row r="595" spans="1:2" x14ac:dyDescent="0.25">
      <c r="A595" s="8">
        <v>38869</v>
      </c>
      <c r="B595" s="7">
        <v>1270.1999510000001</v>
      </c>
    </row>
    <row r="596" spans="1:2" x14ac:dyDescent="0.25">
      <c r="A596" s="8">
        <v>38901</v>
      </c>
      <c r="B596" s="7">
        <v>1276.660034</v>
      </c>
    </row>
    <row r="597" spans="1:2" x14ac:dyDescent="0.25">
      <c r="A597" s="8">
        <v>38930</v>
      </c>
      <c r="B597" s="7">
        <v>1303.8199460000001</v>
      </c>
    </row>
    <row r="598" spans="1:2" x14ac:dyDescent="0.25">
      <c r="A598" s="8">
        <v>38961</v>
      </c>
      <c r="B598" s="7">
        <v>1335.849976</v>
      </c>
    </row>
    <row r="599" spans="1:2" x14ac:dyDescent="0.25">
      <c r="A599" s="8">
        <v>38992</v>
      </c>
      <c r="B599" s="7">
        <v>1377.9399410000001</v>
      </c>
    </row>
    <row r="600" spans="1:2" x14ac:dyDescent="0.25">
      <c r="A600" s="8">
        <v>39022</v>
      </c>
      <c r="B600" s="7">
        <v>1400.630005</v>
      </c>
    </row>
    <row r="601" spans="1:2" x14ac:dyDescent="0.25">
      <c r="A601" s="8">
        <v>39052</v>
      </c>
      <c r="B601" s="7">
        <v>1418.3000489999999</v>
      </c>
    </row>
    <row r="602" spans="1:2" x14ac:dyDescent="0.25">
      <c r="A602" s="8">
        <v>39085</v>
      </c>
      <c r="B602" s="7">
        <v>1438.23999</v>
      </c>
    </row>
    <row r="603" spans="1:2" x14ac:dyDescent="0.25">
      <c r="A603" s="8">
        <v>39114</v>
      </c>
      <c r="B603" s="7">
        <v>1406.8199460000001</v>
      </c>
    </row>
    <row r="604" spans="1:2" x14ac:dyDescent="0.25">
      <c r="A604" s="8">
        <v>39142</v>
      </c>
      <c r="B604" s="7">
        <v>1420.8599850000001</v>
      </c>
    </row>
    <row r="605" spans="1:2" x14ac:dyDescent="0.25">
      <c r="A605" s="8">
        <v>39174</v>
      </c>
      <c r="B605" s="7">
        <v>1482.369995</v>
      </c>
    </row>
    <row r="606" spans="1:2" x14ac:dyDescent="0.25">
      <c r="A606" s="8">
        <v>39203</v>
      </c>
      <c r="B606" s="7">
        <v>1530.619995</v>
      </c>
    </row>
    <row r="607" spans="1:2" x14ac:dyDescent="0.25">
      <c r="A607" s="8">
        <v>39234</v>
      </c>
      <c r="B607" s="7">
        <v>1503.349976</v>
      </c>
    </row>
    <row r="608" spans="1:2" x14ac:dyDescent="0.25">
      <c r="A608" s="8">
        <v>39265</v>
      </c>
      <c r="B608" s="7">
        <v>1455.2700199999999</v>
      </c>
    </row>
    <row r="609" spans="1:2" x14ac:dyDescent="0.25">
      <c r="A609" s="8">
        <v>39295</v>
      </c>
      <c r="B609" s="7">
        <v>1473.98999</v>
      </c>
    </row>
    <row r="610" spans="1:2" x14ac:dyDescent="0.25">
      <c r="A610" s="8">
        <v>39329</v>
      </c>
      <c r="B610" s="7">
        <v>1526.75</v>
      </c>
    </row>
    <row r="611" spans="1:2" x14ac:dyDescent="0.25">
      <c r="A611" s="8">
        <v>39356</v>
      </c>
      <c r="B611" s="7">
        <v>1549.380005</v>
      </c>
    </row>
    <row r="612" spans="1:2" x14ac:dyDescent="0.25">
      <c r="A612" s="8">
        <v>39387</v>
      </c>
      <c r="B612" s="7">
        <v>1481.1400149999999</v>
      </c>
    </row>
    <row r="613" spans="1:2" x14ac:dyDescent="0.25">
      <c r="A613" s="8">
        <v>39419</v>
      </c>
      <c r="B613" s="7">
        <v>1468.3599850000001</v>
      </c>
    </row>
    <row r="614" spans="1:2" x14ac:dyDescent="0.25">
      <c r="A614" s="8">
        <v>39449</v>
      </c>
      <c r="B614" s="7">
        <v>1378.5500489999999</v>
      </c>
    </row>
    <row r="615" spans="1:2" x14ac:dyDescent="0.25">
      <c r="A615" s="8">
        <v>39479</v>
      </c>
      <c r="B615" s="7">
        <v>1330.630005</v>
      </c>
    </row>
    <row r="616" spans="1:2" x14ac:dyDescent="0.25">
      <c r="A616" s="8">
        <v>39510</v>
      </c>
      <c r="B616" s="7">
        <v>1322.6999510000001</v>
      </c>
    </row>
    <row r="617" spans="1:2" x14ac:dyDescent="0.25">
      <c r="A617" s="8">
        <v>39539</v>
      </c>
      <c r="B617" s="7">
        <v>1385.589966</v>
      </c>
    </row>
    <row r="618" spans="1:2" x14ac:dyDescent="0.25">
      <c r="A618" s="8">
        <v>39569</v>
      </c>
      <c r="B618" s="7">
        <v>1400.380005</v>
      </c>
    </row>
    <row r="619" spans="1:2" x14ac:dyDescent="0.25">
      <c r="A619" s="8">
        <v>39601</v>
      </c>
      <c r="B619" s="7">
        <v>1280</v>
      </c>
    </row>
    <row r="620" spans="1:2" x14ac:dyDescent="0.25">
      <c r="A620" s="8">
        <v>39630</v>
      </c>
      <c r="B620" s="7">
        <v>1267.380005</v>
      </c>
    </row>
    <row r="621" spans="1:2" x14ac:dyDescent="0.25">
      <c r="A621" s="8">
        <v>39661</v>
      </c>
      <c r="B621" s="7">
        <v>1282.829956</v>
      </c>
    </row>
    <row r="622" spans="1:2" x14ac:dyDescent="0.25">
      <c r="A622" s="8">
        <v>39693</v>
      </c>
      <c r="B622" s="7">
        <v>1166.3599850000001</v>
      </c>
    </row>
    <row r="623" spans="1:2" x14ac:dyDescent="0.25">
      <c r="A623" s="8">
        <v>39722</v>
      </c>
      <c r="B623" s="7">
        <v>968.75</v>
      </c>
    </row>
    <row r="624" spans="1:2" x14ac:dyDescent="0.25">
      <c r="A624" s="8">
        <v>39755</v>
      </c>
      <c r="B624" s="7">
        <v>896.23999000000003</v>
      </c>
    </row>
    <row r="625" spans="1:2" x14ac:dyDescent="0.25">
      <c r="A625" s="8">
        <v>39783</v>
      </c>
      <c r="B625" s="7">
        <v>903.25</v>
      </c>
    </row>
    <row r="626" spans="1:2" x14ac:dyDescent="0.25">
      <c r="A626" s="8">
        <v>39815</v>
      </c>
      <c r="B626" s="7">
        <v>825.88000499999998</v>
      </c>
    </row>
    <row r="627" spans="1:2" x14ac:dyDescent="0.25">
      <c r="A627" s="8">
        <v>39846</v>
      </c>
      <c r="B627" s="7">
        <v>735.09002699999996</v>
      </c>
    </row>
    <row r="628" spans="1:2" x14ac:dyDescent="0.25">
      <c r="A628" s="8">
        <v>39874</v>
      </c>
      <c r="B628" s="7">
        <v>797.86999500000002</v>
      </c>
    </row>
    <row r="629" spans="1:2" x14ac:dyDescent="0.25">
      <c r="A629" s="8">
        <v>39904</v>
      </c>
      <c r="B629" s="7">
        <v>872.80999799999995</v>
      </c>
    </row>
    <row r="630" spans="1:2" x14ac:dyDescent="0.25">
      <c r="A630" s="8">
        <v>39934</v>
      </c>
      <c r="B630" s="7">
        <v>919.14001499999995</v>
      </c>
    </row>
    <row r="631" spans="1:2" x14ac:dyDescent="0.25">
      <c r="A631" s="8">
        <v>39965</v>
      </c>
      <c r="B631" s="7">
        <v>919.32000700000003</v>
      </c>
    </row>
    <row r="632" spans="1:2" x14ac:dyDescent="0.25">
      <c r="A632" s="8">
        <v>39995</v>
      </c>
      <c r="B632" s="7">
        <v>987.47997999999995</v>
      </c>
    </row>
    <row r="633" spans="1:2" x14ac:dyDescent="0.25">
      <c r="A633" s="8">
        <v>40028</v>
      </c>
      <c r="B633" s="7">
        <v>1020.619995</v>
      </c>
    </row>
    <row r="634" spans="1:2" x14ac:dyDescent="0.25">
      <c r="A634" s="8">
        <v>40057</v>
      </c>
      <c r="B634" s="7">
        <v>1057.079956</v>
      </c>
    </row>
    <row r="635" spans="1:2" x14ac:dyDescent="0.25">
      <c r="A635" s="8">
        <v>40087</v>
      </c>
      <c r="B635" s="7">
        <v>1036.1899410000001</v>
      </c>
    </row>
    <row r="636" spans="1:2" x14ac:dyDescent="0.25">
      <c r="A636" s="8">
        <v>40119</v>
      </c>
      <c r="B636" s="7">
        <v>1095.630005</v>
      </c>
    </row>
    <row r="637" spans="1:2" x14ac:dyDescent="0.25">
      <c r="A637" s="8">
        <v>40148</v>
      </c>
      <c r="B637" s="7">
        <v>1115.099976</v>
      </c>
    </row>
    <row r="638" spans="1:2" x14ac:dyDescent="0.25">
      <c r="A638" s="8">
        <v>40182</v>
      </c>
      <c r="B638" s="7">
        <v>1073.869995</v>
      </c>
    </row>
    <row r="639" spans="1:2" x14ac:dyDescent="0.25">
      <c r="A639" s="8">
        <v>40210</v>
      </c>
      <c r="B639" s="7">
        <v>1104.48999</v>
      </c>
    </row>
    <row r="640" spans="1:2" x14ac:dyDescent="0.25">
      <c r="A640" s="8">
        <v>40238</v>
      </c>
      <c r="B640" s="7">
        <v>1169.4300539999999</v>
      </c>
    </row>
    <row r="641" spans="1:2" x14ac:dyDescent="0.25">
      <c r="A641" s="8">
        <v>40269</v>
      </c>
      <c r="B641" s="7">
        <v>1186.6899410000001</v>
      </c>
    </row>
    <row r="642" spans="1:2" x14ac:dyDescent="0.25">
      <c r="A642" s="8">
        <v>40301</v>
      </c>
      <c r="B642" s="7">
        <v>1089.410034</v>
      </c>
    </row>
    <row r="643" spans="1:2" x14ac:dyDescent="0.25">
      <c r="A643" s="8">
        <v>40330</v>
      </c>
      <c r="B643" s="7">
        <v>1030.709961</v>
      </c>
    </row>
    <row r="644" spans="1:2" x14ac:dyDescent="0.25">
      <c r="A644" s="8">
        <v>40360</v>
      </c>
      <c r="B644" s="7">
        <v>1101.599976</v>
      </c>
    </row>
    <row r="645" spans="1:2" x14ac:dyDescent="0.25">
      <c r="A645" s="8">
        <v>40392</v>
      </c>
      <c r="B645" s="7">
        <v>1049.329956</v>
      </c>
    </row>
    <row r="646" spans="1:2" x14ac:dyDescent="0.25">
      <c r="A646" s="8">
        <v>40422</v>
      </c>
      <c r="B646" s="7">
        <v>1141.1999510000001</v>
      </c>
    </row>
    <row r="647" spans="1:2" x14ac:dyDescent="0.25">
      <c r="A647" s="8">
        <v>40452</v>
      </c>
      <c r="B647" s="7">
        <v>1183.26001</v>
      </c>
    </row>
    <row r="648" spans="1:2" x14ac:dyDescent="0.25">
      <c r="A648" s="8">
        <v>40483</v>
      </c>
      <c r="B648" s="7">
        <v>1180.5500489999999</v>
      </c>
    </row>
    <row r="649" spans="1:2" x14ac:dyDescent="0.25">
      <c r="A649" s="8">
        <v>40513</v>
      </c>
      <c r="B649" s="7">
        <v>1257.6400149999999</v>
      </c>
    </row>
    <row r="650" spans="1:2" x14ac:dyDescent="0.25">
      <c r="A650" s="8">
        <v>40546</v>
      </c>
      <c r="B650" s="7">
        <v>1286.119995</v>
      </c>
    </row>
    <row r="651" spans="1:2" x14ac:dyDescent="0.25">
      <c r="A651" s="8">
        <v>40575</v>
      </c>
      <c r="B651" s="7">
        <v>1327.219971</v>
      </c>
    </row>
    <row r="652" spans="1:2" x14ac:dyDescent="0.25">
      <c r="A652" s="8">
        <v>40603</v>
      </c>
      <c r="B652" s="7">
        <v>1325.829956</v>
      </c>
    </row>
    <row r="653" spans="1:2" x14ac:dyDescent="0.25">
      <c r="A653" s="8">
        <v>40634</v>
      </c>
      <c r="B653" s="7">
        <v>1363.6099850000001</v>
      </c>
    </row>
    <row r="654" spans="1:2" x14ac:dyDescent="0.25">
      <c r="A654" s="8">
        <v>40665</v>
      </c>
      <c r="B654" s="7">
        <v>1345.1999510000001</v>
      </c>
    </row>
    <row r="655" spans="1:2" x14ac:dyDescent="0.25">
      <c r="A655" s="8">
        <v>40695</v>
      </c>
      <c r="B655" s="7">
        <v>1320.6400149999999</v>
      </c>
    </row>
    <row r="656" spans="1:2" x14ac:dyDescent="0.25">
      <c r="A656" s="8">
        <v>40725</v>
      </c>
      <c r="B656" s="7">
        <v>1292.280029</v>
      </c>
    </row>
    <row r="657" spans="1:2" x14ac:dyDescent="0.25">
      <c r="A657" s="8">
        <v>40756</v>
      </c>
      <c r="B657" s="7">
        <v>1218.8900149999999</v>
      </c>
    </row>
    <row r="658" spans="1:2" x14ac:dyDescent="0.25">
      <c r="A658" s="8">
        <v>40787</v>
      </c>
      <c r="B658" s="7">
        <v>1131.420044</v>
      </c>
    </row>
    <row r="659" spans="1:2" x14ac:dyDescent="0.25">
      <c r="A659" s="8">
        <v>40819</v>
      </c>
      <c r="B659" s="7">
        <v>1253.3000489999999</v>
      </c>
    </row>
    <row r="660" spans="1:2" x14ac:dyDescent="0.25">
      <c r="A660" s="8">
        <v>40848</v>
      </c>
      <c r="B660" s="7">
        <v>1246.959961</v>
      </c>
    </row>
    <row r="661" spans="1:2" x14ac:dyDescent="0.25">
      <c r="A661" s="8">
        <v>40878</v>
      </c>
      <c r="B661" s="7">
        <v>1257.599976</v>
      </c>
    </row>
    <row r="662" spans="1:2" x14ac:dyDescent="0.25">
      <c r="A662" s="8">
        <v>40911</v>
      </c>
      <c r="B662" s="7">
        <v>1312.410034</v>
      </c>
    </row>
    <row r="663" spans="1:2" x14ac:dyDescent="0.25">
      <c r="A663" s="8">
        <v>40940</v>
      </c>
      <c r="B663" s="7">
        <v>1365.6800539999999</v>
      </c>
    </row>
    <row r="664" spans="1:2" x14ac:dyDescent="0.25">
      <c r="A664" s="8">
        <v>40969</v>
      </c>
      <c r="B664" s="7">
        <v>1408.469971</v>
      </c>
    </row>
    <row r="665" spans="1:2" x14ac:dyDescent="0.25">
      <c r="A665" s="8">
        <v>41001</v>
      </c>
      <c r="B665" s="7">
        <v>1397.910034</v>
      </c>
    </row>
    <row r="666" spans="1:2" x14ac:dyDescent="0.25">
      <c r="A666" s="8">
        <v>41030</v>
      </c>
      <c r="B666" s="7">
        <v>1310.329956</v>
      </c>
    </row>
    <row r="667" spans="1:2" x14ac:dyDescent="0.25">
      <c r="A667" s="8">
        <v>41061</v>
      </c>
      <c r="B667" s="7">
        <v>1362.160034</v>
      </c>
    </row>
    <row r="668" spans="1:2" x14ac:dyDescent="0.25">
      <c r="A668" s="8">
        <v>41092</v>
      </c>
      <c r="B668" s="7">
        <v>1379.3199460000001</v>
      </c>
    </row>
    <row r="669" spans="1:2" x14ac:dyDescent="0.25">
      <c r="A669" s="8">
        <v>41122</v>
      </c>
      <c r="B669" s="7">
        <v>1406.579956</v>
      </c>
    </row>
    <row r="670" spans="1:2" x14ac:dyDescent="0.25">
      <c r="A670" s="8">
        <v>41156</v>
      </c>
      <c r="B670" s="7">
        <v>1440.670044</v>
      </c>
    </row>
    <row r="671" spans="1:2" x14ac:dyDescent="0.25">
      <c r="A671" s="8">
        <v>41183</v>
      </c>
      <c r="B671" s="7">
        <v>1412.160034</v>
      </c>
    </row>
    <row r="672" spans="1:2" x14ac:dyDescent="0.25">
      <c r="A672" s="8">
        <v>41214</v>
      </c>
      <c r="B672" s="7">
        <v>1416.1800539999999</v>
      </c>
    </row>
    <row r="673" spans="1:2" x14ac:dyDescent="0.25">
      <c r="A673" s="8">
        <v>41246</v>
      </c>
      <c r="B673" s="7">
        <v>1426.1899410000001</v>
      </c>
    </row>
    <row r="674" spans="1:2" x14ac:dyDescent="0.25">
      <c r="A674" s="8">
        <v>41276</v>
      </c>
      <c r="B674" s="7">
        <v>1498.1099850000001</v>
      </c>
    </row>
    <row r="675" spans="1:2" x14ac:dyDescent="0.25">
      <c r="A675" s="8">
        <v>41306</v>
      </c>
      <c r="B675" s="7">
        <v>1514.6800539999999</v>
      </c>
    </row>
    <row r="676" spans="1:2" x14ac:dyDescent="0.25">
      <c r="A676" s="8">
        <v>41334</v>
      </c>
      <c r="B676" s="7">
        <v>1569.1899410000001</v>
      </c>
    </row>
    <row r="677" spans="1:2" x14ac:dyDescent="0.25">
      <c r="A677" s="8">
        <v>41365</v>
      </c>
      <c r="B677" s="7">
        <v>1597.5699460000001</v>
      </c>
    </row>
    <row r="678" spans="1:2" x14ac:dyDescent="0.25">
      <c r="A678" s="8">
        <v>41395</v>
      </c>
      <c r="B678" s="7">
        <v>1630.73999</v>
      </c>
    </row>
    <row r="679" spans="1:2" x14ac:dyDescent="0.25">
      <c r="A679" s="8">
        <v>41428</v>
      </c>
      <c r="B679" s="7">
        <v>1606.280029</v>
      </c>
    </row>
    <row r="680" spans="1:2" x14ac:dyDescent="0.25">
      <c r="A680" s="8">
        <v>41456</v>
      </c>
      <c r="B680" s="7">
        <v>1685.7299800000001</v>
      </c>
    </row>
    <row r="681" spans="1:2" x14ac:dyDescent="0.25">
      <c r="A681" s="8">
        <v>41487</v>
      </c>
      <c r="B681" s="7">
        <v>1632.969971</v>
      </c>
    </row>
    <row r="682" spans="1:2" x14ac:dyDescent="0.25">
      <c r="A682" s="8">
        <v>41520</v>
      </c>
      <c r="B682" s="7">
        <v>1681.5500489999999</v>
      </c>
    </row>
    <row r="683" spans="1:2" x14ac:dyDescent="0.25">
      <c r="A683" s="8">
        <v>41548</v>
      </c>
      <c r="B683" s="7">
        <v>1756.540039</v>
      </c>
    </row>
    <row r="684" spans="1:2" x14ac:dyDescent="0.25">
      <c r="A684" s="8">
        <v>41579</v>
      </c>
      <c r="B684" s="7">
        <v>1805.8100589999999</v>
      </c>
    </row>
    <row r="685" spans="1:2" x14ac:dyDescent="0.25">
      <c r="A685" s="8">
        <v>41610</v>
      </c>
      <c r="B685" s="7">
        <v>1848.3599850000001</v>
      </c>
    </row>
    <row r="686" spans="1:2" x14ac:dyDescent="0.25">
      <c r="A686" s="8">
        <v>41641</v>
      </c>
      <c r="B686" s="7">
        <v>1782.589966</v>
      </c>
    </row>
    <row r="687" spans="1:2" x14ac:dyDescent="0.25">
      <c r="A687" s="8">
        <v>41673</v>
      </c>
      <c r="B687" s="7">
        <v>1859.4499510000001</v>
      </c>
    </row>
    <row r="688" spans="1:2" x14ac:dyDescent="0.25">
      <c r="A688" s="8">
        <v>41701</v>
      </c>
      <c r="B688" s="7">
        <v>1872.339966</v>
      </c>
    </row>
    <row r="689" spans="1:2" x14ac:dyDescent="0.25">
      <c r="A689" s="8">
        <v>41730</v>
      </c>
      <c r="B689" s="7">
        <v>1883.9499510000001</v>
      </c>
    </row>
    <row r="690" spans="1:2" x14ac:dyDescent="0.25">
      <c r="A690" s="8">
        <v>41760</v>
      </c>
      <c r="B690" s="7">
        <v>1923.5699460000001</v>
      </c>
    </row>
    <row r="691" spans="1:2" x14ac:dyDescent="0.25">
      <c r="A691" s="8">
        <v>41792</v>
      </c>
      <c r="B691" s="7">
        <v>1960.2299800000001</v>
      </c>
    </row>
    <row r="692" spans="1:2" x14ac:dyDescent="0.25">
      <c r="A692" s="8">
        <v>41821</v>
      </c>
      <c r="B692" s="7">
        <v>1930.670044</v>
      </c>
    </row>
    <row r="693" spans="1:2" x14ac:dyDescent="0.25">
      <c r="A693" s="8">
        <v>41852</v>
      </c>
      <c r="B693" s="7">
        <v>2003.369995</v>
      </c>
    </row>
    <row r="694" spans="1:2" x14ac:dyDescent="0.25">
      <c r="A694" s="8">
        <v>41884</v>
      </c>
      <c r="B694" s="7">
        <v>1972.290039</v>
      </c>
    </row>
    <row r="695" spans="1:2" x14ac:dyDescent="0.25">
      <c r="A695" s="8">
        <v>41913</v>
      </c>
      <c r="B695" s="7">
        <v>2018.0500489999999</v>
      </c>
    </row>
    <row r="696" spans="1:2" x14ac:dyDescent="0.25">
      <c r="A696" s="8">
        <v>41946</v>
      </c>
      <c r="B696" s="7">
        <v>2067.5600589999999</v>
      </c>
    </row>
    <row r="697" spans="1:2" x14ac:dyDescent="0.25">
      <c r="A697" s="8">
        <v>41974</v>
      </c>
      <c r="B697" s="7">
        <v>2058.8999020000001</v>
      </c>
    </row>
    <row r="698" spans="1:2" x14ac:dyDescent="0.25">
      <c r="A698" s="8">
        <v>42006</v>
      </c>
      <c r="B698" s="7">
        <v>1994.98999</v>
      </c>
    </row>
    <row r="699" spans="1:2" x14ac:dyDescent="0.25">
      <c r="A699" s="8">
        <v>42037</v>
      </c>
      <c r="B699" s="7">
        <v>2104.5</v>
      </c>
    </row>
    <row r="700" spans="1:2" x14ac:dyDescent="0.25">
      <c r="A700" s="8">
        <v>42065</v>
      </c>
      <c r="B700" s="7">
        <v>2067.889893</v>
      </c>
    </row>
    <row r="701" spans="1:2" x14ac:dyDescent="0.25">
      <c r="A701" s="8">
        <v>42095</v>
      </c>
      <c r="B701" s="7">
        <v>2085.51001</v>
      </c>
    </row>
    <row r="702" spans="1:2" x14ac:dyDescent="0.25">
      <c r="A702" s="8">
        <v>42125</v>
      </c>
      <c r="B702" s="7">
        <v>2107.389893</v>
      </c>
    </row>
    <row r="703" spans="1:2" x14ac:dyDescent="0.25">
      <c r="A703" s="8">
        <v>42156</v>
      </c>
      <c r="B703" s="7">
        <v>2063.110107</v>
      </c>
    </row>
  </sheetData>
  <sortState ref="A2:B703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UKDS.Stat export</vt:lpstr>
      <vt:lpstr>S&amp;P500</vt:lpstr>
    </vt:vector>
  </TitlesOfParts>
  <Company>UKDS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UKDS.Stat</dc:creator>
  <cp:lastModifiedBy>mfa30</cp:lastModifiedBy>
  <dcterms:created xsi:type="dcterms:W3CDTF">2015-09-22T11:02:52Z</dcterms:created>
  <dcterms:modified xsi:type="dcterms:W3CDTF">2016-04-26T08:36:55Z</dcterms:modified>
</cp:coreProperties>
</file>